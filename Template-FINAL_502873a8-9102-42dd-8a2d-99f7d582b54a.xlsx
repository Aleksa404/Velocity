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NUTRI4RUN\Clanovi-treninzi\Treninzi\"/>
    </mc:Choice>
  </mc:AlternateContent>
  <xr:revisionPtr revIDLastSave="0" documentId="13_ncr:1000001_{9C26B8B0-97D9-E841-BE82-8827F02FEC19}" xr6:coauthVersionLast="47" xr6:coauthVersionMax="47" xr10:uidLastSave="{00000000-0000-0000-0000-000000000000}"/>
  <bookViews>
    <workbookView xWindow="1380" yWindow="1380" windowWidth="2400" windowHeight="585" firstSheet="9" activeTab="12" xr2:uid="{00000000-000D-0000-FFFF-FFFF00000000}"/>
  </bookViews>
  <sheets>
    <sheet name="5kB" sheetId="12" r:id="rId1"/>
    <sheet name="5kB-templ" sheetId="13" r:id="rId2"/>
    <sheet name="21kC-proba" sheetId="1" r:id="rId3"/>
    <sheet name="21kC" sheetId="4" r:id="rId4"/>
    <sheet name="21kB" sheetId="7" r:id="rId5"/>
    <sheet name="21kB-templ" sheetId="8" r:id="rId6"/>
    <sheet name="42kB" sheetId="10" r:id="rId7"/>
    <sheet name="42kB-templ" sheetId="11" r:id="rId8"/>
    <sheet name="Legenda" sheetId="6" r:id="rId9"/>
    <sheet name="VO2maxPace" sheetId="3" r:id="rId10"/>
    <sheet name="VO2max" sheetId="2" r:id="rId11"/>
    <sheet name="Intenzitet" sheetId="5" r:id="rId12"/>
    <sheet name="Sheet1" sheetId="9" r:id="rId13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3" l="1"/>
  <c r="L15" i="3"/>
  <c r="K15" i="3"/>
  <c r="J15" i="3"/>
  <c r="I15" i="3"/>
  <c r="H15" i="3"/>
  <c r="M14" i="3"/>
  <c r="K14" i="3"/>
  <c r="J14" i="3"/>
  <c r="I14" i="3"/>
  <c r="H14" i="3"/>
  <c r="L14" i="3"/>
  <c r="G26" i="12"/>
  <c r="C95" i="13"/>
  <c r="E26" i="12"/>
  <c r="C93" i="13"/>
  <c r="C26" i="12"/>
  <c r="C91" i="13"/>
  <c r="B2" i="2"/>
  <c r="C2" i="2"/>
  <c r="D2" i="2"/>
  <c r="E2" i="2"/>
  <c r="F2" i="2"/>
  <c r="G2" i="2"/>
  <c r="H2" i="2"/>
  <c r="I2" i="2"/>
  <c r="G25" i="12"/>
  <c r="C87" i="13"/>
  <c r="E25" i="12"/>
  <c r="C85" i="13"/>
  <c r="C25" i="12"/>
  <c r="C83" i="13"/>
  <c r="G24" i="12"/>
  <c r="C79" i="13"/>
  <c r="E24" i="12"/>
  <c r="C77" i="13"/>
  <c r="C24" i="12"/>
  <c r="C75" i="13"/>
  <c r="G23" i="12"/>
  <c r="C71" i="13"/>
  <c r="E23" i="12"/>
  <c r="C69" i="13"/>
  <c r="C23" i="12"/>
  <c r="C67" i="13"/>
  <c r="G22" i="12"/>
  <c r="C63" i="13"/>
  <c r="E22" i="12"/>
  <c r="C61" i="13"/>
  <c r="C22" i="12"/>
  <c r="C59" i="13"/>
  <c r="G21" i="12"/>
  <c r="C55" i="13"/>
  <c r="E21" i="12"/>
  <c r="C53" i="13"/>
  <c r="C21" i="12"/>
  <c r="C51" i="13"/>
  <c r="G20" i="12"/>
  <c r="C47" i="13"/>
  <c r="E20" i="12"/>
  <c r="C45" i="13"/>
  <c r="C20" i="12"/>
  <c r="C43" i="13"/>
  <c r="G19" i="12"/>
  <c r="C39" i="13"/>
  <c r="E19" i="12"/>
  <c r="C37" i="13"/>
  <c r="C19" i="12"/>
  <c r="C35" i="13"/>
  <c r="G18" i="12"/>
  <c r="C31" i="13"/>
  <c r="E18" i="12"/>
  <c r="C29" i="13"/>
  <c r="C18" i="12"/>
  <c r="C27" i="13"/>
  <c r="G17" i="12"/>
  <c r="C23" i="13"/>
  <c r="E17" i="12"/>
  <c r="C21" i="13"/>
  <c r="D17" i="12"/>
  <c r="C20" i="13"/>
  <c r="C17" i="12"/>
  <c r="C19" i="13"/>
  <c r="G16" i="12"/>
  <c r="C15" i="13"/>
  <c r="E16" i="12"/>
  <c r="C13" i="13"/>
  <c r="C16" i="12"/>
  <c r="C11" i="13"/>
  <c r="G15" i="12"/>
  <c r="C7" i="13"/>
  <c r="E15" i="12"/>
  <c r="C5" i="13"/>
  <c r="C15" i="12"/>
  <c r="C3" i="13"/>
  <c r="H26" i="12"/>
  <c r="C96" i="13"/>
  <c r="F26" i="12"/>
  <c r="C94" i="13"/>
  <c r="D26" i="12"/>
  <c r="C92" i="13"/>
  <c r="B26" i="12"/>
  <c r="C90" i="13"/>
  <c r="H25" i="12"/>
  <c r="C88" i="13"/>
  <c r="F25" i="12"/>
  <c r="C86" i="13"/>
  <c r="D25" i="12"/>
  <c r="C84" i="13"/>
  <c r="B25" i="12"/>
  <c r="C82" i="13"/>
  <c r="H24" i="12"/>
  <c r="C80" i="13"/>
  <c r="F24" i="12"/>
  <c r="C78" i="13"/>
  <c r="D24" i="12"/>
  <c r="C76" i="13"/>
  <c r="B24" i="12"/>
  <c r="C74" i="13"/>
  <c r="H23" i="12"/>
  <c r="C72" i="13"/>
  <c r="F23" i="12"/>
  <c r="C70" i="13"/>
  <c r="D23" i="12"/>
  <c r="C68" i="13"/>
  <c r="B23" i="12"/>
  <c r="C66" i="13"/>
  <c r="H22" i="12"/>
  <c r="C64" i="13"/>
  <c r="F22" i="12"/>
  <c r="C62" i="13"/>
  <c r="D22" i="12"/>
  <c r="C60" i="13"/>
  <c r="B22" i="12"/>
  <c r="C58" i="13"/>
  <c r="H21" i="12"/>
  <c r="C56" i="13"/>
  <c r="F21" i="12"/>
  <c r="C54" i="13"/>
  <c r="D21" i="12"/>
  <c r="C52" i="13"/>
  <c r="B21" i="12"/>
  <c r="C50" i="13"/>
  <c r="H20" i="12"/>
  <c r="C48" i="13"/>
  <c r="F20" i="12"/>
  <c r="C46" i="13"/>
  <c r="D20" i="12"/>
  <c r="C44" i="13"/>
  <c r="B20" i="12"/>
  <c r="C42" i="13"/>
  <c r="H19" i="12"/>
  <c r="C40" i="13"/>
  <c r="F19" i="12"/>
  <c r="C38" i="13"/>
  <c r="D19" i="12"/>
  <c r="C36" i="13"/>
  <c r="B19" i="12"/>
  <c r="C34" i="13"/>
  <c r="H18" i="12"/>
  <c r="C32" i="13"/>
  <c r="F18" i="12"/>
  <c r="C30" i="13"/>
  <c r="D18" i="12"/>
  <c r="C28" i="13"/>
  <c r="B18" i="12"/>
  <c r="C26" i="13"/>
  <c r="H17" i="12"/>
  <c r="C24" i="13"/>
  <c r="F17" i="12"/>
  <c r="C22" i="13"/>
  <c r="B17" i="12"/>
  <c r="C18" i="13"/>
  <c r="H16" i="12"/>
  <c r="C16" i="13"/>
  <c r="F16" i="12"/>
  <c r="C14" i="13"/>
  <c r="D16" i="12"/>
  <c r="C12" i="13"/>
  <c r="B16" i="12"/>
  <c r="C10" i="13"/>
  <c r="H15" i="12"/>
  <c r="C8" i="13"/>
  <c r="F15" i="12"/>
  <c r="C6" i="13"/>
  <c r="D15" i="12"/>
  <c r="C4" i="13"/>
  <c r="B15" i="12"/>
  <c r="C2" i="13"/>
  <c r="H26" i="10"/>
  <c r="C96" i="11"/>
  <c r="H24" i="10"/>
  <c r="C80" i="11"/>
  <c r="H21" i="10"/>
  <c r="H19" i="10"/>
  <c r="H17" i="10"/>
  <c r="C24" i="11"/>
  <c r="G22" i="10"/>
  <c r="G16" i="10"/>
  <c r="G17" i="10"/>
  <c r="G15" i="10"/>
  <c r="H15" i="10"/>
  <c r="C8" i="11"/>
  <c r="H13" i="3"/>
  <c r="M13" i="3"/>
  <c r="L13" i="3"/>
  <c r="K13" i="3"/>
  <c r="J13" i="3"/>
  <c r="I13" i="3"/>
  <c r="G26" i="10"/>
  <c r="C95" i="11"/>
  <c r="F26" i="10"/>
  <c r="C94" i="11"/>
  <c r="E26" i="10"/>
  <c r="C93" i="11"/>
  <c r="D26" i="10"/>
  <c r="C92" i="11"/>
  <c r="C26" i="10"/>
  <c r="C91" i="11"/>
  <c r="B26" i="10"/>
  <c r="C90" i="11"/>
  <c r="H25" i="10"/>
  <c r="C88" i="11"/>
  <c r="F25" i="10"/>
  <c r="C86" i="11"/>
  <c r="D25" i="10"/>
  <c r="C84" i="11"/>
  <c r="B25" i="10"/>
  <c r="C82" i="11"/>
  <c r="F24" i="10"/>
  <c r="C78" i="11"/>
  <c r="D24" i="10"/>
  <c r="C76" i="11"/>
  <c r="B24" i="10"/>
  <c r="C74" i="11"/>
  <c r="H23" i="10"/>
  <c r="C72" i="11"/>
  <c r="F23" i="10"/>
  <c r="C70" i="11"/>
  <c r="D23" i="10"/>
  <c r="C68" i="11"/>
  <c r="B23" i="10"/>
  <c r="C66" i="11"/>
  <c r="H22" i="10"/>
  <c r="C64" i="11"/>
  <c r="F22" i="10"/>
  <c r="C62" i="11"/>
  <c r="D22" i="10"/>
  <c r="C60" i="11"/>
  <c r="B22" i="10"/>
  <c r="C58" i="11"/>
  <c r="C56" i="11"/>
  <c r="F21" i="10"/>
  <c r="C54" i="11"/>
  <c r="D21" i="10"/>
  <c r="C52" i="11"/>
  <c r="B21" i="10"/>
  <c r="H20" i="10"/>
  <c r="C48" i="11"/>
  <c r="F20" i="10"/>
  <c r="C46" i="11"/>
  <c r="D20" i="10"/>
  <c r="C44" i="11"/>
  <c r="B20" i="10"/>
  <c r="C42" i="11"/>
  <c r="C40" i="11"/>
  <c r="F19" i="10"/>
  <c r="C38" i="11"/>
  <c r="D19" i="10"/>
  <c r="C36" i="11"/>
  <c r="B19" i="10"/>
  <c r="H18" i="10"/>
  <c r="C32" i="11"/>
  <c r="F18" i="10"/>
  <c r="C30" i="11"/>
  <c r="D18" i="10"/>
  <c r="C28" i="11"/>
  <c r="B18" i="10"/>
  <c r="C26" i="11"/>
  <c r="F17" i="10"/>
  <c r="C22" i="11"/>
  <c r="D17" i="10"/>
  <c r="C20" i="11"/>
  <c r="B17" i="10"/>
  <c r="C18" i="11"/>
  <c r="H16" i="10"/>
  <c r="C16" i="11"/>
  <c r="F16" i="10"/>
  <c r="C14" i="11"/>
  <c r="D16" i="10"/>
  <c r="C12" i="11"/>
  <c r="B16" i="10"/>
  <c r="C10" i="11"/>
  <c r="F15" i="10"/>
  <c r="C6" i="11"/>
  <c r="D15" i="10"/>
  <c r="C4" i="11"/>
  <c r="B15" i="10"/>
  <c r="C2" i="11"/>
  <c r="G26" i="7"/>
  <c r="C95" i="8"/>
  <c r="C26" i="7"/>
  <c r="C91" i="8"/>
  <c r="H5" i="3"/>
  <c r="B4" i="2"/>
  <c r="I4" i="2"/>
  <c r="H4" i="2"/>
  <c r="M5" i="3"/>
  <c r="G4" i="2"/>
  <c r="L5" i="3"/>
  <c r="F4" i="2"/>
  <c r="K5" i="3"/>
  <c r="E4" i="2"/>
  <c r="J5" i="3"/>
  <c r="D4" i="2"/>
  <c r="I5" i="3"/>
  <c r="C4" i="2"/>
  <c r="H15" i="7"/>
  <c r="C8" i="8"/>
  <c r="H26" i="7"/>
  <c r="C96" i="8"/>
  <c r="F26" i="7"/>
  <c r="C94" i="8"/>
  <c r="E26" i="7"/>
  <c r="C93" i="8"/>
  <c r="D26" i="7"/>
  <c r="C92" i="8"/>
  <c r="B26" i="7"/>
  <c r="C90" i="8"/>
  <c r="B23" i="7"/>
  <c r="C66" i="8"/>
  <c r="B24" i="7"/>
  <c r="C74" i="8"/>
  <c r="B25" i="7"/>
  <c r="C82" i="8"/>
  <c r="B22" i="7"/>
  <c r="C58" i="8"/>
  <c r="M6" i="3"/>
  <c r="M7" i="3"/>
  <c r="M8" i="3"/>
  <c r="M9" i="3"/>
  <c r="M10" i="3"/>
  <c r="M11" i="3"/>
  <c r="M12" i="3"/>
  <c r="L6" i="3"/>
  <c r="L7" i="3"/>
  <c r="L8" i="3"/>
  <c r="L9" i="3"/>
  <c r="L10" i="3"/>
  <c r="L11" i="3"/>
  <c r="L12" i="3"/>
  <c r="K6" i="3"/>
  <c r="K7" i="3"/>
  <c r="K8" i="3"/>
  <c r="K9" i="3"/>
  <c r="K10" i="3"/>
  <c r="K11" i="3"/>
  <c r="K12" i="3"/>
  <c r="J6" i="3"/>
  <c r="J7" i="3"/>
  <c r="J8" i="3"/>
  <c r="J9" i="3"/>
  <c r="J10" i="3"/>
  <c r="J11" i="3"/>
  <c r="J12" i="3"/>
  <c r="I6" i="3"/>
  <c r="I7" i="3"/>
  <c r="I8" i="3"/>
  <c r="I9" i="3"/>
  <c r="I10" i="3"/>
  <c r="I11" i="3"/>
  <c r="I12" i="3"/>
  <c r="H6" i="3"/>
  <c r="H7" i="3"/>
  <c r="H8" i="3"/>
  <c r="H9" i="3"/>
  <c r="H10" i="3"/>
  <c r="H11" i="3"/>
  <c r="H12" i="3"/>
  <c r="M3" i="3"/>
  <c r="M4" i="3"/>
  <c r="L3" i="3"/>
  <c r="L4" i="3"/>
  <c r="K3" i="3"/>
  <c r="K4" i="3"/>
  <c r="J3" i="3"/>
  <c r="J4" i="3"/>
  <c r="I3" i="3"/>
  <c r="I4" i="3"/>
  <c r="H3" i="3"/>
  <c r="H4" i="3"/>
  <c r="H25" i="7"/>
  <c r="C88" i="8"/>
  <c r="H24" i="7"/>
  <c r="C80" i="8"/>
  <c r="H23" i="7"/>
  <c r="C72" i="8"/>
  <c r="H22" i="7"/>
  <c r="C64" i="8"/>
  <c r="H21" i="7"/>
  <c r="C56" i="8"/>
  <c r="H20" i="7"/>
  <c r="C48" i="8"/>
  <c r="H19" i="7"/>
  <c r="C40" i="8"/>
  <c r="H18" i="7"/>
  <c r="C32" i="8"/>
  <c r="H17" i="7"/>
  <c r="C24" i="8"/>
  <c r="H16" i="7"/>
  <c r="C16" i="8"/>
  <c r="F25" i="7"/>
  <c r="C86" i="8"/>
  <c r="F24" i="7"/>
  <c r="C78" i="8"/>
  <c r="F23" i="7"/>
  <c r="C70" i="8"/>
  <c r="F22" i="7"/>
  <c r="C62" i="8"/>
  <c r="F21" i="7"/>
  <c r="C54" i="8"/>
  <c r="F20" i="7"/>
  <c r="C46" i="8"/>
  <c r="F19" i="7"/>
  <c r="C38" i="8"/>
  <c r="F18" i="7"/>
  <c r="C30" i="8"/>
  <c r="F17" i="7"/>
  <c r="C22" i="8"/>
  <c r="F16" i="7"/>
  <c r="C14" i="8"/>
  <c r="F15" i="7"/>
  <c r="C6" i="8"/>
  <c r="D25" i="7"/>
  <c r="C84" i="8"/>
  <c r="D24" i="7"/>
  <c r="C76" i="8"/>
  <c r="D23" i="7"/>
  <c r="C68" i="8"/>
  <c r="D22" i="7"/>
  <c r="C60" i="8"/>
  <c r="D21" i="7"/>
  <c r="C52" i="8"/>
  <c r="D20" i="7"/>
  <c r="C44" i="8"/>
  <c r="D19" i="7"/>
  <c r="C36" i="8"/>
  <c r="D18" i="7"/>
  <c r="C28" i="8"/>
  <c r="D17" i="7"/>
  <c r="C20" i="8"/>
  <c r="D16" i="7"/>
  <c r="C12" i="8"/>
  <c r="D15" i="7"/>
  <c r="C4" i="8"/>
  <c r="B21" i="7"/>
  <c r="B20" i="7"/>
  <c r="C42" i="8"/>
  <c r="B19" i="7"/>
  <c r="B18" i="7"/>
  <c r="C26" i="8"/>
  <c r="B17" i="7"/>
  <c r="C18" i="8"/>
  <c r="B16" i="7"/>
  <c r="C10" i="8"/>
  <c r="B15" i="7"/>
  <c r="C2" i="8"/>
  <c r="I15" i="1"/>
  <c r="M2" i="3"/>
  <c r="L2" i="3"/>
  <c r="K2" i="3"/>
  <c r="I13" i="1"/>
  <c r="J13" i="1"/>
  <c r="C13" i="1"/>
  <c r="J2" i="3"/>
  <c r="I2" i="3"/>
  <c r="H2" i="3"/>
  <c r="W2" i="1"/>
  <c r="V2" i="1"/>
  <c r="U2" i="1"/>
  <c r="T2" i="1"/>
  <c r="S2" i="1"/>
  <c r="R2" i="1"/>
  <c r="G25" i="7"/>
  <c r="C23" i="7"/>
  <c r="G19" i="7"/>
  <c r="C24" i="7"/>
  <c r="G16" i="7"/>
  <c r="G20" i="7"/>
  <c r="G24" i="7"/>
  <c r="G15" i="7"/>
  <c r="G23" i="7"/>
  <c r="C25" i="7"/>
  <c r="G17" i="7"/>
  <c r="G21" i="7"/>
  <c r="E25" i="10"/>
  <c r="C85" i="11"/>
  <c r="G23" i="10"/>
  <c r="C71" i="11"/>
  <c r="C23" i="10"/>
  <c r="C67" i="11"/>
  <c r="E21" i="10"/>
  <c r="C53" i="11"/>
  <c r="G19" i="10"/>
  <c r="C39" i="11"/>
  <c r="C19" i="10"/>
  <c r="C35" i="11"/>
  <c r="E17" i="10"/>
  <c r="C21" i="11"/>
  <c r="C7" i="11"/>
  <c r="C15" i="10"/>
  <c r="C3" i="11"/>
  <c r="G24" i="10"/>
  <c r="C79" i="11"/>
  <c r="C24" i="10"/>
  <c r="C75" i="11"/>
  <c r="E22" i="10"/>
  <c r="C61" i="11"/>
  <c r="G20" i="10"/>
  <c r="C47" i="11"/>
  <c r="C20" i="10"/>
  <c r="C43" i="11"/>
  <c r="E18" i="10"/>
  <c r="C29" i="11"/>
  <c r="C15" i="11"/>
  <c r="C16" i="10"/>
  <c r="C11" i="11"/>
  <c r="G25" i="10"/>
  <c r="C87" i="11"/>
  <c r="C25" i="10"/>
  <c r="C83" i="11"/>
  <c r="E23" i="10"/>
  <c r="C69" i="11"/>
  <c r="G21" i="10"/>
  <c r="C55" i="11"/>
  <c r="C21" i="10"/>
  <c r="C51" i="11"/>
  <c r="E19" i="10"/>
  <c r="C37" i="11"/>
  <c r="C23" i="11"/>
  <c r="C17" i="10"/>
  <c r="C19" i="11"/>
  <c r="E15" i="10"/>
  <c r="C5" i="11"/>
  <c r="E24" i="10"/>
  <c r="C77" i="11"/>
  <c r="C22" i="10"/>
  <c r="C59" i="11"/>
  <c r="E20" i="10"/>
  <c r="C45" i="11"/>
  <c r="G18" i="10"/>
  <c r="C31" i="11"/>
  <c r="C18" i="10"/>
  <c r="C27" i="11"/>
  <c r="E16" i="10"/>
  <c r="C13" i="11"/>
  <c r="C22" i="7"/>
  <c r="G18" i="7"/>
  <c r="G22" i="7"/>
  <c r="C34" i="8"/>
  <c r="C34" i="11"/>
  <c r="C50" i="8"/>
  <c r="C50" i="11"/>
  <c r="C10" i="4"/>
  <c r="E22" i="7"/>
  <c r="E18" i="7"/>
  <c r="C21" i="7"/>
  <c r="C17" i="7"/>
  <c r="E25" i="7"/>
  <c r="E21" i="7"/>
  <c r="E17" i="7"/>
  <c r="C20" i="7"/>
  <c r="C16" i="7"/>
  <c r="E24" i="7"/>
  <c r="E20" i="7"/>
  <c r="E16" i="7"/>
  <c r="C19" i="7"/>
  <c r="C15" i="7"/>
  <c r="E23" i="7"/>
  <c r="E19" i="7"/>
  <c r="E15" i="7"/>
  <c r="C18" i="7"/>
  <c r="K13" i="1"/>
  <c r="C18" i="1"/>
  <c r="C16" i="1"/>
  <c r="C63" i="8"/>
  <c r="C79" i="8"/>
  <c r="C77" i="8"/>
  <c r="C31" i="8"/>
  <c r="C47" i="8"/>
  <c r="C69" i="8"/>
  <c r="C39" i="8"/>
  <c r="C3" i="8"/>
  <c r="C35" i="8"/>
  <c r="C11" i="8"/>
  <c r="C85" i="8"/>
  <c r="C61" i="8"/>
  <c r="C59" i="8"/>
  <c r="C71" i="8"/>
  <c r="C15" i="8"/>
  <c r="C87" i="8"/>
  <c r="C45" i="8"/>
  <c r="C51" i="8"/>
  <c r="C23" i="8"/>
  <c r="C27" i="8"/>
  <c r="C53" i="8"/>
  <c r="C29" i="8"/>
  <c r="C83" i="8"/>
  <c r="C67" i="8"/>
  <c r="C37" i="8"/>
  <c r="C43" i="8"/>
  <c r="C19" i="8"/>
  <c r="C55" i="8"/>
  <c r="C7" i="8"/>
  <c r="C75" i="8"/>
  <c r="C21" i="8"/>
  <c r="C13" i="8"/>
  <c r="C5" i="8"/>
  <c r="C63" i="11"/>
  <c r="C10" i="1"/>
  <c r="J10" i="1"/>
  <c r="I10" i="1"/>
  <c r="K10" i="1"/>
</calcChain>
</file>

<file path=xl/sharedStrings.xml><?xml version="1.0" encoding="utf-8"?>
<sst xmlns="http://schemas.openxmlformats.org/spreadsheetml/2006/main" count="1440" uniqueCount="271">
  <si>
    <t>Nedelja</t>
  </si>
  <si>
    <t>PO</t>
  </si>
  <si>
    <t>UT</t>
  </si>
  <si>
    <t>SR</t>
  </si>
  <si>
    <t>CE</t>
  </si>
  <si>
    <t>PE</t>
  </si>
  <si>
    <t>SU</t>
  </si>
  <si>
    <t>NE</t>
  </si>
  <si>
    <t>A</t>
  </si>
  <si>
    <t>2x10min@10K +4min odmor</t>
  </si>
  <si>
    <t>Vo2max</t>
  </si>
  <si>
    <t>1.5K</t>
  </si>
  <si>
    <t>3K</t>
  </si>
  <si>
    <t>5K</t>
  </si>
  <si>
    <t>1.5K pace</t>
  </si>
  <si>
    <t>3K pace</t>
  </si>
  <si>
    <t>5K pace</t>
  </si>
  <si>
    <t>pom10k</t>
  </si>
  <si>
    <t>10k</t>
  </si>
  <si>
    <t>21k</t>
  </si>
  <si>
    <t>42k</t>
  </si>
  <si>
    <t>45:16</t>
  </si>
  <si>
    <t>10kpace</t>
  </si>
  <si>
    <t>5:56</t>
  </si>
  <si>
    <t>12:40</t>
  </si>
  <si>
    <t>21:50</t>
  </si>
  <si>
    <t>1:40:20</t>
  </si>
  <si>
    <t>3:28:26</t>
  </si>
  <si>
    <t>21kpace</t>
  </si>
  <si>
    <t>42kpace</t>
  </si>
  <si>
    <t>44:25</t>
  </si>
  <si>
    <t>1:38:27</t>
  </si>
  <si>
    <t>3:24:39</t>
  </si>
  <si>
    <t>pom5k</t>
  </si>
  <si>
    <t>vo2max</t>
  </si>
  <si>
    <t>1.5k</t>
  </si>
  <si>
    <t>ZA</t>
  </si>
  <si>
    <t>HL</t>
  </si>
  <si>
    <t>zagrevanje 15min@ZA; 
2x10min@10K +4min odmor; 
hlađenje 10min@HL</t>
  </si>
  <si>
    <t>VO2max</t>
  </si>
  <si>
    <t>E/L
1000m</t>
  </si>
  <si>
    <t>T
400m</t>
  </si>
  <si>
    <t>Skracenica</t>
  </si>
  <si>
    <t>Opis</t>
  </si>
  <si>
    <t>XT</t>
  </si>
  <si>
    <t>E</t>
  </si>
  <si>
    <t>E1</t>
  </si>
  <si>
    <t>A1</t>
  </si>
  <si>
    <t>L</t>
  </si>
  <si>
    <t>Plivanje, bicikla, šetanje, vežbe snage, ...</t>
  </si>
  <si>
    <t>lagano trčanje za oporavak</t>
  </si>
  <si>
    <t>lagano trčanje za oporavak uz 4-6 ubrzanja od 30sec na kraju treninga</t>
  </si>
  <si>
    <t>kontinuirano trčanje u konvezacijskom aerobnom tempu</t>
  </si>
  <si>
    <t>progresivno aerobno trčanje u 3 jednaka segmenta, od sporijeg ka bržem</t>
  </si>
  <si>
    <t>dugo kontinuirano trčanje po valovitom terenu</t>
  </si>
  <si>
    <t>L1</t>
  </si>
  <si>
    <t>dugo trčanje po valovitom terenu uz pojačanje na svakoj uzbrdici</t>
  </si>
  <si>
    <t>Super set</t>
  </si>
  <si>
    <t>10-12 x ((200m@1.5K-400m@3K)+odmor koliko je trajao set), za početnike 5-6 puta</t>
  </si>
  <si>
    <t>zagrevanje 15min@ZA; 
1x30min@21K; 
hlađenje 10min@HL</t>
  </si>
  <si>
    <t>zagrevanje 15min@ZA; 
16x(100m@3K + 1min@ZA);
hlađenje 10min@HL</t>
  </si>
  <si>
    <t>zagrevanje 15min@ZA; 
2x(3km@10K+4min@ZA); 
hlađenje 10min@HL</t>
  </si>
  <si>
    <t>zagrevanje 15min@ZA; 
2x(10min@10K +4min@ZA); 
hlađenje 10min@HL</t>
  </si>
  <si>
    <t>zagrevanje 15min@ZA; 
3x(10min@10K +4min@ZA); 
hlađenje 10min@HL</t>
  </si>
  <si>
    <t>zagrevanje 15min@ZA; 
1x40min@21K; 
hlađenje 10min@HL</t>
  </si>
  <si>
    <t>zagrevanje 15min@ZA; 
10x(200m@5K + 2min@ZA);
hlađenje 10min@HL</t>
  </si>
  <si>
    <t>800-600 superset</t>
  </si>
  <si>
    <t>400-800-3200 superset</t>
  </si>
  <si>
    <t>zagrevanje 15min@ZA; 
4x(2km@10K +3min@ZA); 
hlađenje 10min@HL</t>
  </si>
  <si>
    <t>zagrevanje 15min@ZA; 
1x50min@21K; 
hlađenje 10min@HL</t>
  </si>
  <si>
    <t>zagrevanje 15min@ZA; 
10x(200m@3K + 1min@ZA);
hlađenje 10min@HL</t>
  </si>
  <si>
    <t>zagrevanje 15min@ZA; 
12x(400m@5K +15sec@ZA); 
hlađenje 10min@HL</t>
  </si>
  <si>
    <t>zagrevanje 15min@ZA; 
4x(8min@10K +4min@ZA); 
hlađenje 10min@HL</t>
  </si>
  <si>
    <t>zagrevanje 15min@ZA; 
3x(1600m@5K +1min@ZA); 
hlađenje 10min@HL</t>
  </si>
  <si>
    <t>29:51</t>
  </si>
  <si>
    <t>DAN</t>
  </si>
  <si>
    <t>Ponedeljak</t>
  </si>
  <si>
    <t>Utorak</t>
  </si>
  <si>
    <t>Sreda</t>
  </si>
  <si>
    <t>Četvrtak</t>
  </si>
  <si>
    <t>Petak</t>
  </si>
  <si>
    <t>Subota</t>
  </si>
  <si>
    <t>Trening</t>
  </si>
  <si>
    <t>zagrevanje 15min@5:34; 
2x(10min@4:31 +4min@5:34); 
hlađenje 10min@5:34</t>
  </si>
  <si>
    <t>zagrevanje 15min@5:34; 
8x(400min@4:22 +1min@5:34); 
hlađenje 10min@5:34</t>
  </si>
  <si>
    <t>zagrevanje 15min@5:34; 
1x30min@21K; 
hlađenje 10min@5:34</t>
  </si>
  <si>
    <t>zagrevanje 15min@ZA; 
7x(1km@10K + 1min@ZA);
hlađenje 10min@HL</t>
  </si>
  <si>
    <t>zagrevanje 15min@ZA; 
8x(200m@3K +1min@ZA); 
hlađenje 10min@HL</t>
  </si>
  <si>
    <t>odmor</t>
  </si>
  <si>
    <t>zagrevanje 10min@ZA; 
10k@10K; 
hlađenje 10min@HL</t>
  </si>
  <si>
    <t>zagrevanje 15min@ZA; 
8x(100m@3K + 2min@ZA);
hlađenje 10min@HL</t>
  </si>
  <si>
    <t>zagrevanje 15min@ZA; 
6x(800m@5K +30sec@ZA); 
hlađenje 10min@HL</t>
  </si>
  <si>
    <t>zagrevanje 15min@ZA; 
3x(400m@5K +800m@10K+3200m@21K+4min@ZA); 
hlađenje 10min@HL</t>
  </si>
  <si>
    <t>zagrevanje 15min@ZA; 
4x(2k@10K + 2min@ZA);
hlađenje 10min@HL</t>
  </si>
  <si>
    <t>zagrevanje 15min@ZA; 
5x(3min@3K + 3min@ZA); 
hlađenje 10min@HL</t>
  </si>
  <si>
    <t>zagrevanje 10min@ZA; 
60min@21K; 
hlađenje 10min@HL</t>
  </si>
  <si>
    <t>zagrevanje 15min@ZA; 
12x(200m@3K + 1min@ZA);
hlađenje 10min@HL</t>
  </si>
  <si>
    <t>zagrevanje 15min@ZA; 
7x(1k@10K + 2min@ZA); 
hlađenje 10min@HL</t>
  </si>
  <si>
    <t>zagrevanje 10min@ZA; 
30min@21K; 
hlađenje 10min@HL</t>
  </si>
  <si>
    <t>zagrevanje 15min@ZA; 
7x(1k@10K + 1min@ZA);
hlađenje 10min@HL</t>
  </si>
  <si>
    <t>zagrevanje 10min@ZA; 
5k@5K; 
hlađenje 10min@HL</t>
  </si>
  <si>
    <t>zagrevanje 10min@ZA; 
20min@21K; 
hlađenje 10min@HL</t>
  </si>
  <si>
    <t>zagrevanje 15min@ZA; 
3x(1.5min@5K + 1.5min@ZA); 
hlađenje 10min@HL</t>
  </si>
  <si>
    <t>3k@ZA; 
3x100m ubrzanja
Ubrzanja se trče po ravnoj stazi i sa snagom od 85%.
U pauzi se ili hoda ili lagano trči i ne počinje se ponovo dok se potpuno ne odmori.</t>
  </si>
  <si>
    <t>Obavezno uraditi zagrevanje laganim trčanjem  na samom startu barem 1km
Trka: 21.1km</t>
  </si>
  <si>
    <t>5k@5:50, 4-6 x 100m ubrzanja na kraju treninga</t>
  </si>
  <si>
    <t>kontinuirano trčanje u konvezacionom aerobnom tempu</t>
  </si>
  <si>
    <t>5k@5:50 ili odmor</t>
  </si>
  <si>
    <t>14k@5:50</t>
  </si>
  <si>
    <t>Obavezno uraditi zagrevanje laganim trčanjem  na samom startu barem 1km 
Trka: 21.1km</t>
  </si>
  <si>
    <t>800m@5K + 600m@3K</t>
  </si>
  <si>
    <t>zagrevanje 15min@ZA; 
2x(200m@1.5K + 400@3K + 4min@ZA) 
hlađenje 10min@HL</t>
  </si>
  <si>
    <t>zagrevanje 15min@ZA; 
2x(400m@5K +800m@10K+3200m@21K + 4min@ZA)
hlađenje 10min@HL</t>
  </si>
  <si>
    <r>
      <t xml:space="preserve">Opis-ubaciti konkretne vrednosti
</t>
    </r>
    <r>
      <rPr>
        <b/>
        <sz val="11"/>
        <color rgb="FFFF0000"/>
        <rFont val="Calibri"/>
        <family val="2"/>
        <scheme val="minor"/>
      </rPr>
      <t>Napomena: Ovde se ubacuju konkretne vrednosti u odnosu na klijenta I te vrednosti prate kolonu C</t>
    </r>
  </si>
  <si>
    <t>U ovoj vrsti se ručno promene vrednosti da bi se zaokružio pace i to ja procenjujem na osnovu upitnika klijenta
A vrednosti su unesene rucno na osnovu podataka iz 4. vrste</t>
  </si>
  <si>
    <t>Ova vrsta se automatski generise na osnovu 6. vrste i iz ove vrste se u zimaju podaci na dalju obradu i prikaz</t>
  </si>
  <si>
    <t>zagrevanje 15min@5:50; 
10x(200m@4:45 + 2min@5:50);
hlađenje 10min@5:50</t>
  </si>
  <si>
    <t>zagrevanje 15min@5:50; 
12x(400m@4:45 +15sec@5:50); 
hlađenje 10min@5:50</t>
  </si>
  <si>
    <t>zagrevanje 15min@5:50; 
2x(400m@4:45 +800m@4:55+3200m@5:10 + 4min@5:50)
hlađenje 10min@5:50</t>
  </si>
  <si>
    <t>zagrevanje 15min@5:50; 
4x(2km@4:55 +3min@5:50); 
hlađenje 10min@5:50</t>
  </si>
  <si>
    <t>zagrevanje 15min@5:50; 
2x(200m@4:20 + 400@4:35 + 4min@5:50) 
hlađenje 10min@5:50</t>
  </si>
  <si>
    <t>zagrevanje 15min@5:50; 
1x50min@5:10; 
hlađenje 10min@5:50</t>
  </si>
  <si>
    <t>zagrevanje 15min@5:50; 
10x(200m@4:35 + 1min@5:50);
hlađenje 10min@5:50</t>
  </si>
  <si>
    <t>zagrevanje 15min@5:50; 
4x(8min@4:55 +4min@5:50); 
hlađenje 10min@5:50</t>
  </si>
  <si>
    <t>zagrevanje 15min@5:50; 
3x(1600m@4:45 +1min@5:50); 
hlađenje 10min@5:50</t>
  </si>
  <si>
    <t>zagrevanje 15min@5:50; 
7x(1km@4:55 + 1min@5:50);
hlađenje 10min@5:50</t>
  </si>
  <si>
    <t>zagrevanje 15min@5:50; 
8x(200m@4:35 +1min@5:50); 
hlađenje 10min@5:50</t>
  </si>
  <si>
    <t>zagrevanje 15min@5:50; 
8x(100m@4:35 + 2min@5:50);
hlađenje 10min@5:50</t>
  </si>
  <si>
    <t>zagrevanje 15min@5:50; 
6x(800m@4:45 +30sec@5:50); 
hlađenje 10min@5:50</t>
  </si>
  <si>
    <t>zagrevanje 15min@5:50; 
3x(400m@4:45 +800m@4:55+3200m@5:10+4min@5:50); 
hlađenje 10min@5:50</t>
  </si>
  <si>
    <t>zagrevanje 15min@5:50; 
4x(2k@4:55 + 2min@5:50);
hlađenje 10min@5:50</t>
  </si>
  <si>
    <t>zagrevanje 15min@5:50; 
5x(3min@4:35 + 3min@5:50); 
hlađenje 10min@5:50</t>
  </si>
  <si>
    <t>zagrevanje 10min@5:50; 
60min@5:10; 
hlađenje 10min@5:50</t>
  </si>
  <si>
    <t>zagrevanje 15min@5:50; 
12x(200m@4:35 + 1min@5:50);
hlađenje 10min@5:50</t>
  </si>
  <si>
    <t>zagrevanje 15min@5:50; 
7x(1k@4:55 + 2min@5:50); 
hlađenje 10min@5:50</t>
  </si>
  <si>
    <t>zagrevanje 10min@5:50; 
30min@5:10; 
hlađenje 10min@5:50</t>
  </si>
  <si>
    <t>zagrevanje 15min@5:50; 
7x(1k@4:55 + 1min@5:50);
hlađenje 10min@5:50</t>
  </si>
  <si>
    <t>zagrevanje 10min@; 
20min@21K; 
hlađenje 10min@</t>
  </si>
  <si>
    <t>zagrevanje 15min@; 
3x(1.5min@ + 1.5min@); 
hlađenje 10min@</t>
  </si>
  <si>
    <t>3k@; 
3x100m ubrzanja
Ubrzanja se trče po ravnoj stazi i sa snagom od 85%.
U pauzi se ili hoda ili lagano trči i ne počinje se ponovo dok se potpuno ne odmori.</t>
  </si>
  <si>
    <t>zagrevanje 15min@ZA; 
3x(8min@10K + 3min@ZA); 
hlađenje 10min@HL</t>
  </si>
  <si>
    <t>zagrevanje 15min@ZA; 
6x(800min@5K + 30s@ZA); 
hlađenje 10min@HL</t>
  </si>
  <si>
    <t>zagrevanje 15min@ZA; 
14x(200m@3K + 1min@ZA);
hlađenje 10min@HL</t>
  </si>
  <si>
    <t>zagrevanje 15min@ZA; 
2x(3k@10K +4min@ZA); 
hlađenje 10min@HL</t>
  </si>
  <si>
    <t>zagrevanje 15min@ZA; 
2x(200K@3K + 600m@5K + 1600m@10K + 4min@ZA)
hlađenje 10min@HL</t>
  </si>
  <si>
    <t>zagrevanje 15min@ZA; 
5x(1000m@5K + 1min@ZA)
hlađenje 10min@HL</t>
  </si>
  <si>
    <t>zagrevanje 15min@ZA; 
3x(8min@10K + 2min@ZA);
hlađenje 10min@HL</t>
  </si>
  <si>
    <t>zagrevanje 10min@ZA; 
60min@42K; 
hlađenje 10min@HL</t>
  </si>
  <si>
    <t>zagrevanje 15min@ZA; 
20min@21K
hlađenje 10min@HL</t>
  </si>
  <si>
    <t>zagrevanje 15min@ZA; 
5x(3min@3K +3min@ZA); 
hlađenje 10min@HL</t>
  </si>
  <si>
    <t>zagrevanje 15min@ZA; 
7x(1000m@10K + 1min@ZA) 
hlađenje 10min@HL</t>
  </si>
  <si>
    <t>zagrevanje 10min@ZA; 
90min@42K; 
hlađenje 10min@HL</t>
  </si>
  <si>
    <t>zagrevanje 15min@ZA; 
30min@21K
hlađenje 10min@HL</t>
  </si>
  <si>
    <t>zagrevanje 15min@ZA; 
8x(400m@10K + 30sec@ZA);
hlađenje 10min@HL</t>
  </si>
  <si>
    <t>zagrevanje 10min@ZA; 
21k@21K; 
hlađenje 5min@HL</t>
  </si>
  <si>
    <t>zagrevanje 15min@ZA; 
2x(400m@5K + 400m@10K + 2400m@42K + 4min@ZA);
hlađenje 10min@HL</t>
  </si>
  <si>
    <t>L2</t>
  </si>
  <si>
    <t>zagrevanje 10min@ZA; 
2x(20min@21K + 5min@ZA); 
hlađenje 10min@HL</t>
  </si>
  <si>
    <t>zagrevanje 15min@ZA; 
3x(400m@5K + 400m@10K + 2400m@42K + 4min@ZA);
hlađenje 10min@HL</t>
  </si>
  <si>
    <t>zagrevanje 10min@ZA; 
40min@21K; 
hlađenje 10min@HL</t>
  </si>
  <si>
    <t>zagrevanje 10min@ZA; 
120min@42K; 
hlađenje 10min@HL</t>
  </si>
  <si>
    <t>zagrevanje 15min@ZA; 
3x(1600m@5K + 1min@ZA);
hlađenje 10min@HL</t>
  </si>
  <si>
    <t>Obavezno uraditi zagrevanje laganim trčanjem  na samom startu barem 1km
Trka: 42.2km</t>
  </si>
  <si>
    <t>aerobno trčanje 16k, zatim 16k u MP tempu, i 2k rastrčavanje</t>
  </si>
  <si>
    <t>NAPOMENA: U A4 se unosi VO2max I na osnovu njega se odredjuju ostale vrednosti.
U intenzitet treba uneti vrednosti</t>
  </si>
  <si>
    <t>zagrevanje 15min@6:50; 
2x(10min@5:35 +4min@6:50); 
hlađenje 10min@6:50</t>
  </si>
  <si>
    <t>zagrevanje 15min@6:50; 
8x(400min@5:25 +1min@6:50); 
hlađenje 10min@6:50</t>
  </si>
  <si>
    <t>zagrevanje 15min@6:50; 
1x30min@5:55; 
hlađenje 10min@6:50</t>
  </si>
  <si>
    <t>zagrevanje 15min@6:50; 
16x(100m@5:15 + 1min@6:50);
hlađenje 10min@6:50</t>
  </si>
  <si>
    <t>zagrevanje 15min@6:50; 
6x(800min@5:25 +30sec@6:50); 
hlađenje 10min@6:50</t>
  </si>
  <si>
    <t>zagrevanje 15min@6:50; 
2x(3km@5:35+4min@6:50); 
hlađenje 10min@6:50</t>
  </si>
  <si>
    <t>zagrevanje 15min@6:50; 
3x(10min@5:35 +4min@6:50); 
hlađenje 10min@6:50</t>
  </si>
  <si>
    <t>zagrevanje 15min@6:50; 
2x(800K@5:35 + 600m@5:25 + 4min@6:50)
hlađenje 10min@6:50</t>
  </si>
  <si>
    <t>zagrevanje 15min@6:50; 
1x40min@5:55; 
hlađenje 10min@6:50</t>
  </si>
  <si>
    <t>5k@6:00 ili odmor</t>
  </si>
  <si>
    <t>5k@6:00, 4-6 x 100m ubrzanja na kraju treninga</t>
  </si>
  <si>
    <t>14k@6:00</t>
  </si>
  <si>
    <t>zagrevanje 15min@6:10; 
3x(8min@5:00 + 3min@6:10); 
hlađenje 10min@6:10</t>
  </si>
  <si>
    <t>zagrevanje 15min@6:10; 
6x(800min@4:50 + 30s@6:10); 
hlađenje 10min@6:10</t>
  </si>
  <si>
    <t>zagrevanje 15min@6:10; 
14x(200m@4:40 + 1min@6:10);
hlađenje 10min@6:10</t>
  </si>
  <si>
    <t>zagrevanje 15min@6:10; 
2x(3k@5:00 +4min@6:10); 
hlađenje 10min@6:10</t>
  </si>
  <si>
    <t>zagrevanje 15min@6:10; 
2x(200K@4:40 + 600m@4:50 + 1600m@5:00 + 4min@6:10)
hlađenje 10min@6:10</t>
  </si>
  <si>
    <t>zagrevanje 15min@6:10; 
5x(1000m@4:50 + 1min@6:10)
hlađenje 10min@6:10</t>
  </si>
  <si>
    <t>zagrevanje 15min@6:10; 
3x(8min@5:00 + 2min@6:10);
hlađenje 10min@6:10</t>
  </si>
  <si>
    <t>zagrevanje 15min@6:10; 
3x(1600m@4:50 +1min@6:10); 
hlađenje 10min@6:10</t>
  </si>
  <si>
    <t>zagrevanje 15min@6:10; 
20min@5:15
hlađenje 10min@6:10</t>
  </si>
  <si>
    <t>zagrevanje 15min@6:10; 
5x(3min@4:40 +3min@6:10); 
hlađenje 10min@6:10</t>
  </si>
  <si>
    <t>zagrevanje 15min@6:10; 
7x(1000m@5:00 + 1min@6:10) 
hlađenje 10min@6:10</t>
  </si>
  <si>
    <t>zagrevanje 15min@6:10; 
10x(200m@4:40 + 1min@6:10);
hlađenje 10min@6:10
zagrevanje 15min@6:10; 
1k@5:00 + 2min@6:10+3k@5:00 + 5min@6:10  + 1k@5:00 + 2min@6:10+ 3k@5:00 + 5min@6:10 + 1k@5:00
hlađenje 10min@6:10</t>
  </si>
  <si>
    <t>zagrevanje 15min@6:10; 
4x(8min@5:00 +4min@6:10); 
hlađenje 10min@6:10</t>
  </si>
  <si>
    <t>zagrevanje 15min@6:10; 
30min@5:15
hlađenje 10min@6:10</t>
  </si>
  <si>
    <t>zagrevanje 15min@6:10; 
8x(400m@5:00 + 30sec@6:10);
hlađenje 10min@6:10</t>
  </si>
  <si>
    <t>zagrevanje 15min@6:10; 
8x(200m@4:40 +1min@6:10); 
hlađenje 10min@6:10</t>
  </si>
  <si>
    <t>zagrevanje 15min@6:10; 
2x(400m@4:50 + 400m@5:00 + 2400m@5:25 + 4min@6:10);
hlađenje 10min@6:10</t>
  </si>
  <si>
    <t>zagrevanje 15min@6:10; 
6x(800m@4:50 +30sec@6:10); 
hlađenje 10min@6:10</t>
  </si>
  <si>
    <t>zagrevanje 15min@6:10; 
4x(2k@5:00 + 2min@6:10);
hlađenje 10min@6:10</t>
  </si>
  <si>
    <t>zagrevanje 15min@6:10; 
5x(3min@4:40 + 3min@6:10); 
hlađenje 10min@6:10</t>
  </si>
  <si>
    <t>zagrevanje 10min@6:10; 
2x(20min@5:15 + 5min@6:10); 
hlađenje 10min@6:10</t>
  </si>
  <si>
    <t>zagrevanje 15min@6:10; 
3x(400m@4:50 + 400m@5:00 + 2400m@5:25 + 4min@6:10);
hlađenje 10min@6:10</t>
  </si>
  <si>
    <t>zagrevanje 10min@6:10; 
40min@5:15; 
hlađenje 10min@6:10</t>
  </si>
  <si>
    <t>zagrevanje 15min@6:10; 
3x(1600m@4:50 + 1min@6:10);
hlađenje 10min@6:10</t>
  </si>
  <si>
    <t>10k@6:00, 6x100m ubrzanja</t>
  </si>
  <si>
    <t>5k@6:00 i/ili trening snage</t>
  </si>
  <si>
    <t>zagrevanje 15min@ZA; 
1k@10K + 2min@ZA+3k@10K + 5min@ZA  + 1k@10K + 2min@ZA+ 3k@10K + 5min@ZA + 1k@10K
hlađenje 10min@HL</t>
  </si>
  <si>
    <t>zagrevanje 15min@ZA; 
8x(400m@5K +1min@ZA); 
hlađenje 10min@HL</t>
  </si>
  <si>
    <t>zagrevanje 15min@ZA; 
2x(800m@10K + 600m@5K + 4min@ZA)
hlađenje 10min@HL</t>
  </si>
  <si>
    <t>zagrevanje 10min@ZA; 
3x(1200m@10K +2min@ZA); 
hlađenje 5min@HL</t>
  </si>
  <si>
    <t>zagrevanje 10min@ZA; 
8x(200m@5K +1min@ZA); 
hlađenje 5min@HL</t>
  </si>
  <si>
    <t>zagrevanje 10min@ZA; 
1x20min@21K; 
hlađenje 5min@HL</t>
  </si>
  <si>
    <t>zagrevanje 10min@ZA; 
16x(100m@1.5K + 1min@ZA);
hlađenje 5min@HL</t>
  </si>
  <si>
    <t>zagrevanje 10min@ZA; 
6x(800m@5K +30sec@ZA); 
hlađenje 5min@HL</t>
  </si>
  <si>
    <t>zagrevanje 10min@ZA; 
2x(1600m@5K+1min@ZA); 
hlađenje 5min@HL</t>
  </si>
  <si>
    <t>zagrevanje 10min@ZA; 
4x(1600m@10K +2min@ZA); 
hlađenje 5min@HL</t>
  </si>
  <si>
    <t>zagrevanje 10min@ZA; 
4x(200m@3K + 400m@5K + 4min@ZA)
hlađenje 5min@HL</t>
  </si>
  <si>
    <t>zagrevanje 10min@ZA; 
1x25min@5K; 
hlađenje 5min@HL</t>
  </si>
  <si>
    <t>zagrevanje 10min@ZA; 
10x(100m@1.5K + 2min@ZA);
hlađenje 5min@HL</t>
  </si>
  <si>
    <t>zagrevanje 10min@ZA; 
12x(400m@5K +15sec@ZA); 
hlađenje 5min@HL</t>
  </si>
  <si>
    <t>zagrevanje 10min@ZA; 
2x(600m@3K +1000m@5K + 4min@ZA)
hlađenje 5min@HL</t>
  </si>
  <si>
    <t>zagrevanje 10min@ZA; 
3x(2km@10K +2min@ZA); 
hlađenje 5min@HL</t>
  </si>
  <si>
    <t>zagrevanje 10min@ZA; 
6x(200m@1.5K + 400@3K + 4min@ZA) 
hlađenje 5min@HL</t>
  </si>
  <si>
    <t>zagrevanje 10min@ZA; 
1x30min@5K; 
hlađenje 5min@HL</t>
  </si>
  <si>
    <t>zagrevanje 10min@ZA; 
8x(200m@1.5K + 1min@ZA);
hlađenje 5min@HL</t>
  </si>
  <si>
    <t>zagrevanje 10min@ZA; 
3x(6min@10K +3min@ZA); 
hlađenje 5min@HL</t>
  </si>
  <si>
    <t>zagrevanje 10min@ZA; 
3x(1600m@5K +1min@ZA); 
hlađenje 5min@HL</t>
  </si>
  <si>
    <t>zagrevanje 10min@ZA; 
5x(1km@5K + 1min@ZA);
hlađenje 5min@HL</t>
  </si>
  <si>
    <t>zagrevanje 10min@ZA; 
8x(200m@3K +1min@ZA); 
hlađenje 5min@HL</t>
  </si>
  <si>
    <t>zagrevanje 10min@ZA; 
5k@5K; 
hlađenje 5min@HL</t>
  </si>
  <si>
    <t>zagrevanje 10min@ZA; 
8x(100m@1.5K + 2min@ZA);
hlađenje 5min@HL</t>
  </si>
  <si>
    <t>zagrevanje 10min@ZA; 
3x(600m@5K +1000m@10K+4min@ZA); 
hlađenje 5min@HL</t>
  </si>
  <si>
    <t>zagrevanje 10min@ZA; 
2x(2k@5K + 2min@ZA);
hlađenje 5min@HL</t>
  </si>
  <si>
    <t>zagrevanje 10min@ZA; 
5x(3min@3K + 3min@ZA); 
hlađenje 5min@HL</t>
  </si>
  <si>
    <t>zagrevanje 10min@ZA; 
30min@10K; 
hlađenje 5min@HL</t>
  </si>
  <si>
    <t>zagrevanje 10min@ZA; 
10x(200m@1.5K + 2min@ZA);
hlađenje 5min@HL</t>
  </si>
  <si>
    <t>zagrevanje 10min@ZA; 
5x(1k@5K + 1min@ZA); 
hlađenje 5min@HL</t>
  </si>
  <si>
    <t>zagrevanje 10min@ZA; 
4x(400m@3K +400m@5K + 3min@ZA)
hlađenje 5min@HL</t>
  </si>
  <si>
    <t>zagrevanje 10min@ZA; 
6x(1k@10K + 1min@ZA);
hlađenje 5min@HL</t>
  </si>
  <si>
    <t>zagrevanje 10min@ZA; 
25min@5K; 
hlađenje 5min@HL</t>
  </si>
  <si>
    <t>zagrevanje 10min@ZA; 
10min@5K; 
hlađenje 5min@HL</t>
  </si>
  <si>
    <t>zagrevanje 10min@ZA; 
3x(1.5min@5K + 1.5min@ZA); 
hlađenje 5min@HL</t>
  </si>
  <si>
    <t>Obavezno uraditi zagrevanje laganim trčanjem  na samom startu barem 500m do 1km
Trka: 5km</t>
  </si>
  <si>
    <t>zagrevanje 10min@7:30; 
3x(1200m@6:20 +2min@7:30); 
hlađenje 5min@7:30</t>
  </si>
  <si>
    <t>zagrevanje 10min@7:30; 
8x(200m@6:05 +1min@7:30); 
hlađenje 5min@7:30</t>
  </si>
  <si>
    <t>zagrevanje 10min@7:30; 
1x20min@6:40; 
hlađenje 5min@7:30</t>
  </si>
  <si>
    <t>zagrevanje 10min@7:30; 
16x(100m@5:40 + 1min@7:30);
hlađenje 5min@7:30</t>
  </si>
  <si>
    <t>zagrevanje 10min@7:30; 
6x(800m@6:05 +30sec@7:30); 
hlađenje 5min@7:30</t>
  </si>
  <si>
    <t>zagrevanje 10min@7:30; 
2x(1600m@6:05+1min@7:30); 
hlađenje 5min@7:30</t>
  </si>
  <si>
    <t>zagrevanje 10min@7:30; 
4x(1600m@6:20 +2min@7:30); 
hlađenje 5min@7:30</t>
  </si>
  <si>
    <t>zagrevanje 10min@7:30; 
4x(200m@6:00 + 400m@6:05 + 4min@7:30)
hlađenje 5min@7:30</t>
  </si>
  <si>
    <t>zagrevanje 10min@7:30; 
1x25min@6:05; 
hlađenje 5min@7:30</t>
  </si>
  <si>
    <t>zagrevanje 10min@7:30; 
10x(100m@5:40 + 2min@7:30);
hlađenje 5min@7:30</t>
  </si>
  <si>
    <t>zagrevanje 10min@7:30; 
12x(400m@6:05 +15sec@7:30); 
hlađenje 5min@7:30</t>
  </si>
  <si>
    <t>zagrevanje 10min@7:30; 
2x(600m@6:00 +1000m@6:05 + 4min@7:30)
hlađenje 5min@7:30</t>
  </si>
  <si>
    <t>zagrevanje 10min@7:30; 
3x(2km@6:20 +2min@7:30); 
hlađenje 5min@7:30</t>
  </si>
  <si>
    <t>zagrevanje 10min@7:30; 
6x(200m@5:40 + 400@6:00 + 4min@7:30) 
hlađenje 5min@7:30</t>
  </si>
  <si>
    <t>zagrevanje 10min@7:30; 
1x30min@6:05; 
hlađenje 5min@7:30</t>
  </si>
  <si>
    <t>zagrevanje 10min@7:30; 
8x(200m@5:40 + 1min@7:30);
hlađenje 5min@7:30</t>
  </si>
  <si>
    <t>zagrevanje 10min@7:30; 
3x(6min@6:20 +3min@7:30); 
hlađenje 5min@7:30</t>
  </si>
  <si>
    <t>zagrevanje 10min@7:30; 
3x(1600m@6:05 +1min@7:30); 
hlađenje 5min@7:30</t>
  </si>
  <si>
    <t>zagrevanje 10min@7:30; 
5x(1km@6:05 + 1min@7:30);
hlađenje 5min@7:30</t>
  </si>
  <si>
    <t>zagrevanje 10min@7:30; 
8x(200m@6:00 +1min@7:30); 
hlađenje 5min@7:30</t>
  </si>
  <si>
    <t>zagrevanje 10min@7:30; 
8x(100m@5:40 + 2min@7:30);
hlađenje 5min@7:30</t>
  </si>
  <si>
    <t>zagrevanje 10min@7:30; 
3x(600m@6:05 +1000m@6:20+4min@7:30); 
hlađenje 5min@7:30</t>
  </si>
  <si>
    <t>zagrevanje 10min@7:30; 
2x(2k@6:05 + 2min@7:30);
hlađenje 5min@7:30</t>
  </si>
  <si>
    <t>zagrevanje 10min@7:30; 
5x(3min@6:00 + 3min@7:30); 
hlađenje 5min@7:30</t>
  </si>
  <si>
    <t>zagrevanje 10min@7:30; 
30min@6:20; 
hlađenje 5min@7:30</t>
  </si>
  <si>
    <t>zagrevanje 10min@7:30; 
10x(200m@5:40 + 2min@7:30);
hlađenje 5min@7:30</t>
  </si>
  <si>
    <t>zagrevanje 10min@7:30; 
5x(1k@6:05 + 1min@7:30); 
hlađenje 5min@7:30</t>
  </si>
  <si>
    <t>zagrevanje 10min@7:30; 
4x(400m@6:00 +400m@6:05 + 3min@7:30)
hlađenje 5min@7:30</t>
  </si>
  <si>
    <t>zagrevanje 10min@7:30; 
6x(1k@6:20 + 1min@7:30);
hlađenje 5min@7:30</t>
  </si>
  <si>
    <t>zagrevanje 10min@; 
10min@; 
hlađenje 5min@</t>
  </si>
  <si>
    <t>zagrevanje 10min@; 
3x(1.5min@ + 1.5min@); 
hlađenje 5min@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</si>
</sst>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1"/>
    <xf numFmtId="20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1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20" fontId="0" fillId="0" borderId="0" xfId="0" applyNumberFormat="1" applyAlignment="1">
      <alignment horizontal="right"/>
    </xf>
    <xf numFmtId="0" fontId="2" fillId="0" borderId="0" xfId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/>
    <xf numFmtId="46" fontId="0" fillId="0" borderId="0" xfId="0" applyNumberFormat="1"/>
    <xf numFmtId="21" fontId="0" fillId="0" borderId="0" xfId="0" applyNumberForma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tyles" Target="style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 /><Relationship Id="rId1" Type="http://schemas.openxmlformats.org/officeDocument/2006/relationships/hyperlink" Target="mailto:2x10min@10K%20+4min%20odmor" TargetMode="Externa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2x10min@10K%20+4min%20odmor" TargetMode="Externa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14k@6:00" TargetMode="External" /><Relationship Id="rId2" Type="http://schemas.openxmlformats.org/officeDocument/2006/relationships/hyperlink" Target="mailto:14k@6:00" TargetMode="External" /><Relationship Id="rId1" Type="http://schemas.openxmlformats.org/officeDocument/2006/relationships/hyperlink" Target="mailto:14k@6:00" TargetMode="External" /><Relationship Id="rId4" Type="http://schemas.openxmlformats.org/officeDocument/2006/relationships/printerSettings" Target="../printerSettings/printerSettings8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562F-125E-42A9-AFA9-8566F967210E}">
  <dimension ref="A1:H26"/>
  <sheetViews>
    <sheetView topLeftCell="B10" workbookViewId="0">
      <selection activeCell="H16" sqref="H16"/>
    </sheetView>
  </sheetViews>
  <sheetFormatPr defaultRowHeight="15" x14ac:dyDescent="0.2"/>
  <cols>
    <col min="2" max="2" width="37.93359375" bestFit="1" customWidth="1"/>
    <col min="3" max="3" width="48.6953125" customWidth="1"/>
    <col min="4" max="4" width="45.19921875" customWidth="1"/>
    <col min="5" max="5" width="69.546875" customWidth="1"/>
    <col min="7" max="7" width="32.41796875" customWidth="1"/>
    <col min="8" max="8" width="15.73828125" customWidth="1"/>
  </cols>
  <sheetData>
    <row r="1" spans="1:8" s="12" customForma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 ht="60" customHeight="1" x14ac:dyDescent="0.2">
      <c r="A2">
        <v>1</v>
      </c>
      <c r="B2" t="s">
        <v>44</v>
      </c>
      <c r="C2" s="11" t="s">
        <v>206</v>
      </c>
      <c r="D2" t="s">
        <v>8</v>
      </c>
      <c r="E2" s="11" t="s">
        <v>207</v>
      </c>
      <c r="F2" t="s">
        <v>45</v>
      </c>
      <c r="G2" s="11" t="s">
        <v>208</v>
      </c>
      <c r="H2" t="s">
        <v>48</v>
      </c>
    </row>
    <row r="3" spans="1:8" ht="41.25" x14ac:dyDescent="0.2">
      <c r="A3">
        <v>2</v>
      </c>
      <c r="B3" t="s">
        <v>45</v>
      </c>
      <c r="C3" s="11" t="s">
        <v>209</v>
      </c>
      <c r="D3" t="s">
        <v>8</v>
      </c>
      <c r="E3" s="11" t="s">
        <v>210</v>
      </c>
      <c r="F3" t="s">
        <v>45</v>
      </c>
      <c r="G3" s="11" t="s">
        <v>211</v>
      </c>
      <c r="H3" t="s">
        <v>55</v>
      </c>
    </row>
    <row r="4" spans="1:8" ht="41.25" x14ac:dyDescent="0.2">
      <c r="A4">
        <v>3</v>
      </c>
      <c r="B4" t="s">
        <v>44</v>
      </c>
      <c r="C4" s="11" t="s">
        <v>212</v>
      </c>
      <c r="D4" t="s">
        <v>8</v>
      </c>
      <c r="E4" s="11" t="s">
        <v>213</v>
      </c>
      <c r="F4" t="s">
        <v>45</v>
      </c>
      <c r="G4" s="11" t="s">
        <v>214</v>
      </c>
      <c r="H4" t="s">
        <v>48</v>
      </c>
    </row>
    <row r="5" spans="1:8" ht="54.75" x14ac:dyDescent="0.2">
      <c r="A5">
        <v>4</v>
      </c>
      <c r="B5" t="s">
        <v>45</v>
      </c>
      <c r="C5" s="11" t="s">
        <v>215</v>
      </c>
      <c r="D5" t="s">
        <v>8</v>
      </c>
      <c r="E5" s="11" t="s">
        <v>216</v>
      </c>
      <c r="F5" t="s">
        <v>45</v>
      </c>
      <c r="G5" s="11" t="s">
        <v>217</v>
      </c>
      <c r="H5" t="s">
        <v>55</v>
      </c>
    </row>
    <row r="6" spans="1:8" ht="41.25" x14ac:dyDescent="0.2">
      <c r="A6">
        <v>5</v>
      </c>
      <c r="B6" t="s">
        <v>44</v>
      </c>
      <c r="C6" s="11" t="s">
        <v>218</v>
      </c>
      <c r="D6" t="s">
        <v>8</v>
      </c>
      <c r="E6" s="11" t="s">
        <v>219</v>
      </c>
      <c r="F6" t="s">
        <v>45</v>
      </c>
      <c r="G6" s="11" t="s">
        <v>220</v>
      </c>
      <c r="H6" t="s">
        <v>48</v>
      </c>
    </row>
    <row r="7" spans="1:8" ht="41.25" x14ac:dyDescent="0.2">
      <c r="A7">
        <v>6</v>
      </c>
      <c r="B7" t="s">
        <v>45</v>
      </c>
      <c r="C7" s="11" t="s">
        <v>221</v>
      </c>
      <c r="D7" t="s">
        <v>47</v>
      </c>
      <c r="E7" s="11" t="s">
        <v>222</v>
      </c>
      <c r="F7" t="s">
        <v>45</v>
      </c>
      <c r="G7" s="11" t="s">
        <v>223</v>
      </c>
      <c r="H7" t="s">
        <v>55</v>
      </c>
    </row>
    <row r="8" spans="1:8" ht="68.25" x14ac:dyDescent="0.2">
      <c r="A8">
        <v>7</v>
      </c>
      <c r="B8" t="s">
        <v>44</v>
      </c>
      <c r="C8" s="11" t="s">
        <v>224</v>
      </c>
      <c r="D8" t="s">
        <v>8</v>
      </c>
      <c r="E8" s="11" t="s">
        <v>225</v>
      </c>
      <c r="F8" t="s">
        <v>45</v>
      </c>
      <c r="G8" s="11" t="s">
        <v>88</v>
      </c>
      <c r="H8" s="11" t="s">
        <v>226</v>
      </c>
    </row>
    <row r="9" spans="1:8" ht="54.75" x14ac:dyDescent="0.2">
      <c r="A9">
        <v>8</v>
      </c>
      <c r="B9" t="s">
        <v>45</v>
      </c>
      <c r="C9" s="11" t="s">
        <v>227</v>
      </c>
      <c r="D9" t="s">
        <v>8</v>
      </c>
      <c r="E9" s="11" t="s">
        <v>210</v>
      </c>
      <c r="F9" t="s">
        <v>45</v>
      </c>
      <c r="G9" s="11" t="s">
        <v>228</v>
      </c>
      <c r="H9" t="s">
        <v>55</v>
      </c>
    </row>
    <row r="10" spans="1:8" ht="41.25" x14ac:dyDescent="0.2">
      <c r="A10">
        <v>9</v>
      </c>
      <c r="B10" t="s">
        <v>44</v>
      </c>
      <c r="C10" s="11" t="s">
        <v>229</v>
      </c>
      <c r="D10" t="s">
        <v>8</v>
      </c>
      <c r="E10" s="11" t="s">
        <v>230</v>
      </c>
      <c r="F10" t="s">
        <v>45</v>
      </c>
      <c r="G10" s="11" t="s">
        <v>231</v>
      </c>
      <c r="H10" t="s">
        <v>48</v>
      </c>
    </row>
    <row r="11" spans="1:8" ht="41.25" x14ac:dyDescent="0.2">
      <c r="A11">
        <v>10</v>
      </c>
      <c r="B11" t="s">
        <v>46</v>
      </c>
      <c r="C11" s="11" t="s">
        <v>232</v>
      </c>
      <c r="D11" t="s">
        <v>47</v>
      </c>
      <c r="E11" s="11" t="s">
        <v>233</v>
      </c>
      <c r="F11" t="s">
        <v>45</v>
      </c>
      <c r="G11" s="11" t="s">
        <v>234</v>
      </c>
      <c r="H11" t="s">
        <v>48</v>
      </c>
    </row>
    <row r="12" spans="1:8" ht="68.25" x14ac:dyDescent="0.2">
      <c r="A12">
        <v>11</v>
      </c>
      <c r="B12" t="s">
        <v>45</v>
      </c>
      <c r="C12" s="11" t="s">
        <v>235</v>
      </c>
      <c r="D12" t="s">
        <v>8</v>
      </c>
      <c r="E12" s="11" t="s">
        <v>230</v>
      </c>
      <c r="F12" t="s">
        <v>45</v>
      </c>
      <c r="G12" s="11" t="s">
        <v>88</v>
      </c>
      <c r="H12" s="11" t="s">
        <v>236</v>
      </c>
    </row>
    <row r="13" spans="1:8" ht="94.5" x14ac:dyDescent="0.2">
      <c r="A13">
        <v>12</v>
      </c>
      <c r="B13" t="s">
        <v>8</v>
      </c>
      <c r="C13" s="11" t="s">
        <v>237</v>
      </c>
      <c r="D13" t="s">
        <v>44</v>
      </c>
      <c r="E13" s="11" t="s">
        <v>238</v>
      </c>
      <c r="F13" t="s">
        <v>88</v>
      </c>
      <c r="G13" t="s">
        <v>103</v>
      </c>
      <c r="H13" s="11" t="s">
        <v>239</v>
      </c>
    </row>
    <row r="14" spans="1:8" s="12" customFormat="1" x14ac:dyDescent="0.2">
      <c r="A14" s="12" t="s">
        <v>0</v>
      </c>
      <c r="B14" s="12" t="s">
        <v>1</v>
      </c>
      <c r="C14" s="12" t="s">
        <v>2</v>
      </c>
      <c r="D14" s="12" t="s">
        <v>3</v>
      </c>
      <c r="E14" s="12" t="s">
        <v>4</v>
      </c>
      <c r="F14" s="12" t="s">
        <v>5</v>
      </c>
      <c r="G14" s="12" t="s">
        <v>6</v>
      </c>
      <c r="H14" s="12" t="s">
        <v>7</v>
      </c>
    </row>
    <row r="15" spans="1:8" ht="15.75" customHeight="1" x14ac:dyDescent="0.2">
      <c r="A15">
        <v>1</v>
      </c>
      <c r="B15" t="str">
        <f>VLOOKUP(B2,Legenda!$A$1:$B$51,2,FALSE)</f>
        <v>Plivanje, bicikla, šetanje, vežbe snage, ...</v>
      </c>
      <c r="C15" t="str">
        <f>SUBSTITUTE(SUBSTITUTE(SUBSTITUTE(SUBSTITUTE(SUBSTITUTE(SUBSTITUTE(SUBSTITUTE(SUBSTITUTE(C2,"1.5K",VO2max!B2),"3K",VO2max!C2),"5K",VO2max!D2),"10K",VO2max!E2),"21k",VO2max!F2),"42K",VO2max!G2),"ZA",VO2max!H2),"HL",VO2max!I2)</f>
        <v>zagrevanje 10min@7:30; 
3x(1200m@6:20 +2min@7:30); 
hlađenje 5min@7:30</v>
      </c>
      <c r="D15" t="str">
        <f>VLOOKUP(D2,Legenda!$A$1:$B$51,2,FALSE)</f>
        <v>5k@6:00 ili odmor</v>
      </c>
      <c r="E15" t="str">
        <f>SUBSTITUTE(SUBSTITUTE(SUBSTITUTE(SUBSTITUTE(SUBSTITUTE(SUBSTITUTE(SUBSTITUTE(SUBSTITUTE(E2,"1.5K",VO2max!B2),"3K",VO2max!C2),"5K",VO2max!D2),"10K",VO2max!E2),"21k",VO2max!F2),"42K",VO2max!G2),"ZA",VO2max!H2),"HL",VO2max!I2)</f>
        <v>zagrevanje 10min@7:30; 
8x(200m@6:05 +1min@7:30); 
hlađenje 5min@7:30</v>
      </c>
      <c r="F15" t="str">
        <f>VLOOKUP(F2,Legenda!$A$1:$B$51,2,FALSE)</f>
        <v>5k@6:00 ili odmor</v>
      </c>
      <c r="G15" t="str">
        <f>SUBSTITUTE(SUBSTITUTE(SUBSTITUTE(SUBSTITUTE(SUBSTITUTE(SUBSTITUTE(SUBSTITUTE(SUBSTITUTE(G2,"1.5K",VO2max!B2),"3K",VO2max!C2),"5K",VO2max!D2),"10K",VO2max!E2),"21K",VO2max!F2),"42K",VO2max!G2),"ZA",VO2max!H2),"HL",VO2max!I2)</f>
        <v>zagrevanje 10min@7:30; 
1x20min@6:40; 
hlađenje 5min@7:30</v>
      </c>
      <c r="H15" t="str">
        <f>VLOOKUP(H2,Legenda!$A$1:$B$51,2,FALSE)</f>
        <v>14k@6:00</v>
      </c>
    </row>
    <row r="16" spans="1:8" x14ac:dyDescent="0.2">
      <c r="A16">
        <v>2</v>
      </c>
      <c r="B16" t="str">
        <f>VLOOKUP(B3,Legenda!$A$1:$B$51,2,FALSE)</f>
        <v>5k@6:00 ili odmor</v>
      </c>
      <c r="C16" t="str">
        <f>SUBSTITUTE(SUBSTITUTE(SUBSTITUTE(SUBSTITUTE(SUBSTITUTE(SUBSTITUTE(SUBSTITUTE(SUBSTITUTE(C3,"1.5K",VO2max!B2),"3K",VO2max!C2),"5K",VO2max!D2),"10K",VO2max!E2),"21k",VO2max!F2),"42K",VO2max!G2),"ZA",VO2max!H2),"HL",VO2max!I2)</f>
        <v>zagrevanje 10min@7:30; 
16x(100m@5:40 + 1min@7:30);
hlađenje 5min@7:30</v>
      </c>
      <c r="D16" t="str">
        <f>VLOOKUP(D3,Legenda!$A$1:$B$51,2,FALSE)</f>
        <v>5k@6:00 ili odmor</v>
      </c>
      <c r="E16" t="str">
        <f>SUBSTITUTE(SUBSTITUTE(SUBSTITUTE(SUBSTITUTE(SUBSTITUTE(SUBSTITUTE(SUBSTITUTE(SUBSTITUTE(E3,"1.5K",VO2max!B2),"3K",VO2max!C2),"5K",VO2max!D2),"10K",VO2max!E2),"21k",VO2max!F2),"42K",VO2max!G2),"ZA",VO2max!H2),"HL",VO2max!I2)</f>
        <v>zagrevanje 10min@7:30; 
6x(800m@6:05 +30sec@7:30); 
hlađenje 5min@7:30</v>
      </c>
      <c r="F16" t="str">
        <f>VLOOKUP(F3,Legenda!$A$1:$B$51,2,FALSE)</f>
        <v>5k@6:00 ili odmor</v>
      </c>
      <c r="G16" t="str">
        <f>SUBSTITUTE(SUBSTITUTE(SUBSTITUTE(SUBSTITUTE(SUBSTITUTE(SUBSTITUTE(SUBSTITUTE(SUBSTITUTE(G3,"1.5K",VO2max!B2),"3K",VO2max!C2),"5K",VO2max!D2),"10K",VO2max!E2),"21K",VO2max!F2),"42K",VO2max!G2),"ZA",VO2max!H2),"HL",VO2max!I2)</f>
        <v>zagrevanje 10min@7:30; 
2x(1600m@6:05+1min@7:30); 
hlađenje 5min@7:30</v>
      </c>
      <c r="H16" t="str">
        <f>VLOOKUP(H3,Legenda!$A$1:$B$51,2,FALSE)</f>
        <v>14k@6:00</v>
      </c>
    </row>
    <row r="17" spans="1:8" x14ac:dyDescent="0.2">
      <c r="A17">
        <v>3</v>
      </c>
      <c r="B17" t="str">
        <f>VLOOKUP(B4,Legenda!$A$1:$B$51,2,FALSE)</f>
        <v>Plivanje, bicikla, šetanje, vežbe snage, ...</v>
      </c>
      <c r="C17" t="str">
        <f>SUBSTITUTE(SUBSTITUTE(SUBSTITUTE(SUBSTITUTE(SUBSTITUTE(SUBSTITUTE(SUBSTITUTE(SUBSTITUTE(C4,"1.5K",VO2max!B2),"3K",VO2max!C2),"5K",VO2max!D2),"10K",VO2max!E2),"21k",VO2max!F2),"42K",VO2max!G2),"ZA",VO2max!H2),"HL",VO2max!I2)</f>
        <v>zagrevanje 10min@7:30; 
4x(1600m@6:20 +2min@7:30); 
hlađenje 5min@7:30</v>
      </c>
      <c r="D17" t="str">
        <f>VLOOKUP(D4,Legenda!$A$1:$B$51,2,FALSE)</f>
        <v>5k@6:00 ili odmor</v>
      </c>
      <c r="E17" t="str">
        <f>SUBSTITUTE(SUBSTITUTE(SUBSTITUTE(SUBSTITUTE(SUBSTITUTE(SUBSTITUTE(SUBSTITUTE(SUBSTITUTE(E4,"1.5K",VO2max!B2),"3K",VO2max!C2),"5K",VO2max!D2),"10K",VO2max!E2),"21k",VO2max!F2),"42K",VO2max!G2),"ZA",VO2max!H2),"HL",VO2max!I2)</f>
        <v>zagrevanje 10min@7:30; 
4x(200m@6:00 + 400m@6:05 + 4min@7:30)
hlađenje 5min@7:30</v>
      </c>
      <c r="F17" t="str">
        <f>VLOOKUP(F4,Legenda!$A$1:$B$51,2,FALSE)</f>
        <v>5k@6:00 ili odmor</v>
      </c>
      <c r="G17" t="str">
        <f>SUBSTITUTE(SUBSTITUTE(SUBSTITUTE(SUBSTITUTE(SUBSTITUTE(SUBSTITUTE(SUBSTITUTE(SUBSTITUTE(G4,"1.5K",VO2max!B2),"3K",VO2max!C2),"5K",VO2max!D2),"10K",VO2max!E2),"21K",VO2max!F2),"42K",VO2max!G2),"ZA",VO2max!H2),"HL",VO2max!I2)</f>
        <v>zagrevanje 10min@7:30; 
1x25min@6:05; 
hlađenje 5min@7:30</v>
      </c>
      <c r="H17" t="str">
        <f>VLOOKUP(H4,Legenda!$A$1:$B$51,2,FALSE)</f>
        <v>14k@6:00</v>
      </c>
    </row>
    <row r="18" spans="1:8" x14ac:dyDescent="0.2">
      <c r="A18">
        <v>4</v>
      </c>
      <c r="B18" t="str">
        <f>VLOOKUP(B5,Legenda!$A$1:$B$51,2,FALSE)</f>
        <v>5k@6:00 ili odmor</v>
      </c>
      <c r="C18" t="str">
        <f>SUBSTITUTE(SUBSTITUTE(SUBSTITUTE(SUBSTITUTE(SUBSTITUTE(SUBSTITUTE(SUBSTITUTE(SUBSTITUTE(C5,"1.5K",VO2max!B2),"3K",VO2max!C2),"5K",VO2max!D2),"10K",VO2max!E2),"21k",VO2max!F2),"42K",VO2max!G2),"ZA",VO2max!H2),"HL",VO2max!I2)</f>
        <v>zagrevanje 10min@7:30; 
10x(100m@5:40 + 2min@7:30);
hlađenje 5min@7:30</v>
      </c>
      <c r="D18" t="str">
        <f>VLOOKUP(D5,Legenda!$A$1:$B$51,2,FALSE)</f>
        <v>5k@6:00 ili odmor</v>
      </c>
      <c r="E18" t="str">
        <f>SUBSTITUTE(SUBSTITUTE(SUBSTITUTE(SUBSTITUTE(SUBSTITUTE(SUBSTITUTE(SUBSTITUTE(SUBSTITUTE(E5,"1.5K",VO2max!B2),"3K",VO2max!C2),"5K",VO2max!D2),"10K",VO2max!E2),"21k",VO2max!F2),"42K",VO2max!G2),"ZA",VO2max!H2),"HL",VO2max!I2)</f>
        <v>zagrevanje 10min@7:30; 
12x(400m@6:05 +15sec@7:30); 
hlađenje 5min@7:30</v>
      </c>
      <c r="F18" t="str">
        <f>VLOOKUP(F5,Legenda!$A$1:$B$51,2,FALSE)</f>
        <v>5k@6:00 ili odmor</v>
      </c>
      <c r="G18" t="str">
        <f>SUBSTITUTE(SUBSTITUTE(SUBSTITUTE(SUBSTITUTE(SUBSTITUTE(SUBSTITUTE(SUBSTITUTE(SUBSTITUTE(G5,"1.5K",VO2max!B2),"3K",VO2max!C2),"5K",VO2max!D2),"10K",VO2max!E2),"21K",VO2max!F2),"42K",VO2max!G2),"ZA",VO2max!H2),"HL",VO2max!I2)</f>
        <v>zagrevanje 10min@7:30; 
2x(600m@6:00 +1000m@6:05 + 4min@7:30)
hlađenje 5min@7:30</v>
      </c>
      <c r="H18" t="str">
        <f>VLOOKUP(H5,Legenda!$A$1:$B$51,2,FALSE)</f>
        <v>14k@6:00</v>
      </c>
    </row>
    <row r="19" spans="1:8" x14ac:dyDescent="0.2">
      <c r="A19">
        <v>5</v>
      </c>
      <c r="B19" t="str">
        <f>VLOOKUP(B6,Legenda!$A$1:$B$51,2,FALSE)</f>
        <v>Plivanje, bicikla, šetanje, vežbe snage, ...</v>
      </c>
      <c r="C19" t="str">
        <f>SUBSTITUTE(SUBSTITUTE(SUBSTITUTE(SUBSTITUTE(SUBSTITUTE(SUBSTITUTE(SUBSTITUTE(SUBSTITUTE(C6,"1.5K",VO2max!B2),"3K",VO2max!C2),"5K",VO2max!D2),"10K",VO2max!E2),"21k",VO2max!F2),"42K",VO2max!G2),"ZA",VO2max!H2),"HL",VO2max!I2)</f>
        <v>zagrevanje 10min@7:30; 
3x(2km@6:20 +2min@7:30); 
hlađenje 5min@7:30</v>
      </c>
      <c r="D19" t="str">
        <f>VLOOKUP(D6,Legenda!$A$1:$B$51,2,FALSE)</f>
        <v>5k@6:00 ili odmor</v>
      </c>
      <c r="E19" t="str">
        <f>SUBSTITUTE(SUBSTITUTE(SUBSTITUTE(SUBSTITUTE(SUBSTITUTE(SUBSTITUTE(SUBSTITUTE(SUBSTITUTE(E6,"1.5K",VO2max!B2),"3K",VO2max!C2),"5K",VO2max!D2),"10K",VO2max!E2),"21k",VO2max!F2),"42K",VO2max!G2),"ZA",VO2max!H2),"HL",VO2max!I2)</f>
        <v>zagrevanje 10min@7:30; 
6x(200m@5:40 + 400@6:00 + 4min@7:30) 
hlađenje 5min@7:30</v>
      </c>
      <c r="F19" t="str">
        <f>VLOOKUP(F6,Legenda!$A$1:$B$51,2,FALSE)</f>
        <v>5k@6:00 ili odmor</v>
      </c>
      <c r="G19" t="str">
        <f>SUBSTITUTE(SUBSTITUTE(SUBSTITUTE(SUBSTITUTE(SUBSTITUTE(SUBSTITUTE(SUBSTITUTE(SUBSTITUTE(G6,"1.5K",VO2max!B2),"3K",VO2max!C2),"5K",VO2max!D2),"10K",VO2max!E2),"21K",VO2max!F2),"42K",VO2max!G2),"ZA",VO2max!H2),"HL",VO2max!I2)</f>
        <v>zagrevanje 10min@7:30; 
1x30min@6:05; 
hlađenje 5min@7:30</v>
      </c>
      <c r="H19" t="str">
        <f>VLOOKUP(H6,Legenda!$A$1:$B$51,2,FALSE)</f>
        <v>14k@6:00</v>
      </c>
    </row>
    <row r="20" spans="1:8" x14ac:dyDescent="0.2">
      <c r="A20">
        <v>6</v>
      </c>
      <c r="B20" t="str">
        <f>VLOOKUP(B7,Legenda!$A$1:$B$51,2,FALSE)</f>
        <v>5k@6:00 ili odmor</v>
      </c>
      <c r="C20" t="str">
        <f>SUBSTITUTE(SUBSTITUTE(SUBSTITUTE(SUBSTITUTE(SUBSTITUTE(SUBSTITUTE(SUBSTITUTE(SUBSTITUTE(C7,"1.5K",VO2max!B2),"3K",VO2max!C2),"5K",VO2max!D2),"10K",VO2max!E2),"21k",VO2max!F2),"42K",VO2max!G2),"ZA",VO2max!H2),"HL",VO2max!I2)</f>
        <v>zagrevanje 10min@7:30; 
8x(200m@5:40 + 1min@7:30);
hlađenje 5min@7:30</v>
      </c>
      <c r="D20" t="str">
        <f>VLOOKUP(D7,Legenda!$A$1:$B$51,2,FALSE)</f>
        <v>progresivno aerobno trčanje u 3 jednaka segmenta, od sporijeg ka bržem</v>
      </c>
      <c r="E20" t="str">
        <f>SUBSTITUTE(SUBSTITUTE(SUBSTITUTE(SUBSTITUTE(SUBSTITUTE(SUBSTITUTE(SUBSTITUTE(SUBSTITUTE(E7,"1.5K",VO2max!B2),"3K",VO2max!C2),"5K",VO2max!D2),"10K",VO2max!E2),"21k",VO2max!F2),"42K",VO2max!G2),"ZA",VO2max!H2),"HL",VO2max!I2)</f>
        <v>zagrevanje 10min@7:30; 
3x(6min@6:20 +3min@7:30); 
hlađenje 5min@7:30</v>
      </c>
      <c r="F20" t="str">
        <f>VLOOKUP(F7,Legenda!$A$1:$B$51,2,FALSE)</f>
        <v>5k@6:00 ili odmor</v>
      </c>
      <c r="G20" t="str">
        <f>SUBSTITUTE(SUBSTITUTE(SUBSTITUTE(SUBSTITUTE(SUBSTITUTE(SUBSTITUTE(SUBSTITUTE(SUBSTITUTE(G7,"1.5K",VO2max!B2),"3K",VO2max!C2),"5K",VO2max!D2),"10K",VO2max!E2),"21K",VO2max!F2),"42K",VO2max!G2),"ZA",VO2max!H2),"HL",VO2max!I2)</f>
        <v>zagrevanje 10min@7:30; 
3x(1600m@6:05 +1min@7:30); 
hlađenje 5min@7:30</v>
      </c>
      <c r="H20" t="str">
        <f>VLOOKUP(H7,Legenda!$A$1:$B$51,2,FALSE)</f>
        <v>14k@6:00</v>
      </c>
    </row>
    <row r="21" spans="1:8" x14ac:dyDescent="0.2">
      <c r="A21">
        <v>7</v>
      </c>
      <c r="B21" t="str">
        <f>VLOOKUP(B8,Legenda!$A$1:$B$51,2,FALSE)</f>
        <v>Plivanje, bicikla, šetanje, vežbe snage, ...</v>
      </c>
      <c r="C21" t="str">
        <f>SUBSTITUTE(SUBSTITUTE(SUBSTITUTE(SUBSTITUTE(SUBSTITUTE(SUBSTITUTE(SUBSTITUTE(SUBSTITUTE(C8,"1.5K",VO2max!B2),"3K",VO2max!C2),"5K",VO2max!D2),"10K",VO2max!E2),"21k",VO2max!F2),"42K",VO2max!G2),"ZA",VO2max!H2),"HL",VO2max!I2)</f>
        <v>zagrevanje 10min@7:30; 
5x(1km@6:05 + 1min@7:30);
hlađenje 5min@7:30</v>
      </c>
      <c r="D21" t="str">
        <f>VLOOKUP(D8,Legenda!$A$1:$B$51,2,FALSE)</f>
        <v>5k@6:00 ili odmor</v>
      </c>
      <c r="E21" t="str">
        <f>SUBSTITUTE(SUBSTITUTE(SUBSTITUTE(SUBSTITUTE(SUBSTITUTE(SUBSTITUTE(SUBSTITUTE(SUBSTITUTE(E8,"1.5K",VO2max!B2),"3K",VO2max!C2),"5K",VO2max!D2),"10K",VO2max!E2),"21k",VO2max!F2),"42K",VO2max!G2),"ZA",VO2max!H2),"HL",VO2max!I2)</f>
        <v>zagrevanje 10min@7:30; 
8x(200m@6:00 +1min@7:30); 
hlađenje 5min@7:30</v>
      </c>
      <c r="F21" t="str">
        <f>VLOOKUP(F8,Legenda!$A$1:$B$51,2,FALSE)</f>
        <v>5k@6:00 ili odmor</v>
      </c>
      <c r="G21" t="str">
        <f>SUBSTITUTE(SUBSTITUTE(SUBSTITUTE(SUBSTITUTE(SUBSTITUTE(SUBSTITUTE(SUBSTITUTE(SUBSTITUTE(G8,"1.5K",VO2max!B2),"3K",VO2max!C2),"5K",VO2max!D2),"10K",VO2max!E2),"21K",VO2max!F2),"42K",VO2max!G2),"ZA",VO2max!H2),"HL",VO2max!I2)</f>
        <v>odmor</v>
      </c>
      <c r="H21">
        <f>VLOOKUP(H8,Legenda!$A$1:$B$51,2,FALSE)</f>
        <v>0</v>
      </c>
    </row>
    <row r="22" spans="1:8" x14ac:dyDescent="0.2">
      <c r="A22">
        <v>8</v>
      </c>
      <c r="B22" t="str">
        <f>VLOOKUP(B9,Legenda!$A$1:$B$51,2,FALSE)</f>
        <v>5k@6:00 ili odmor</v>
      </c>
      <c r="C22" t="str">
        <f>SUBSTITUTE(SUBSTITUTE(SUBSTITUTE(SUBSTITUTE(SUBSTITUTE(SUBSTITUTE(SUBSTITUTE(SUBSTITUTE(C9,"1.5K",VO2max!B2),"3K",VO2max!C2),"5K",VO2max!D2),"10K",VO2max!E2),"21k",VO2max!F2),"42K",VO2max!G2),"ZA",VO2max!H2),"HL",VO2max!I2)</f>
        <v>zagrevanje 10min@7:30; 
8x(100m@5:40 + 2min@7:30);
hlađenje 5min@7:30</v>
      </c>
      <c r="D22" t="str">
        <f>VLOOKUP(D9,Legenda!$A$1:$B$51,2,FALSE)</f>
        <v>5k@6:00 ili odmor</v>
      </c>
      <c r="E22" t="str">
        <f>SUBSTITUTE(SUBSTITUTE(SUBSTITUTE(SUBSTITUTE(SUBSTITUTE(SUBSTITUTE(SUBSTITUTE(SUBSTITUTE(E9,"1.5K",VO2max!B2),"3K",VO2max!C2),"5K",VO2max!D2),"10K",VO2max!E2),"21k",VO2max!F2),"42K",VO2max!G2),"ZA",VO2max!H2),"HL",VO2max!I2)</f>
        <v>zagrevanje 10min@7:30; 
6x(800m@6:05 +30sec@7:30); 
hlađenje 5min@7:30</v>
      </c>
      <c r="F22" t="str">
        <f>VLOOKUP(F9,Legenda!$A$1:$B$51,2,FALSE)</f>
        <v>5k@6:00 ili odmor</v>
      </c>
      <c r="G22" t="str">
        <f>SUBSTITUTE(SUBSTITUTE(SUBSTITUTE(SUBSTITUTE(SUBSTITUTE(SUBSTITUTE(SUBSTITUTE(SUBSTITUTE(G9,"1.5K",VO2max!B2),"3K",VO2max!C2),"5K",VO2max!D2),"10K",VO2max!E2),"21K",VO2max!F2),"42K",VO2max!G2),"ZA",VO2max!H2),"HL",VO2max!I2)</f>
        <v>zagrevanje 10min@7:30; 
3x(600m@6:05 +1000m@6:20+4min@7:30); 
hlađenje 5min@7:30</v>
      </c>
      <c r="H22" t="str">
        <f>VLOOKUP(H9,Legenda!$A$1:$B$51,2,FALSE)</f>
        <v>14k@6:00</v>
      </c>
    </row>
    <row r="23" spans="1:8" x14ac:dyDescent="0.2">
      <c r="A23">
        <v>9</v>
      </c>
      <c r="B23" t="str">
        <f>VLOOKUP(B10,Legenda!$A$1:$B$51,2,FALSE)</f>
        <v>Plivanje, bicikla, šetanje, vežbe snage, ...</v>
      </c>
      <c r="C23" t="str">
        <f>SUBSTITUTE(SUBSTITUTE(SUBSTITUTE(SUBSTITUTE(SUBSTITUTE(SUBSTITUTE(SUBSTITUTE(SUBSTITUTE(C10,"1.5K",VO2max!B2),"3K",VO2max!C2),"5K",VO2max!D2),"10K",VO2max!E2),"21k",VO2max!F2),"42K",VO2max!G2),"ZA",VO2max!H2),"HL",VO2max!I2)</f>
        <v>zagrevanje 10min@7:30; 
2x(2k@6:05 + 2min@7:30);
hlađenje 5min@7:30</v>
      </c>
      <c r="D23" t="str">
        <f>VLOOKUP(D10,Legenda!$A$1:$B$51,2,FALSE)</f>
        <v>5k@6:00 ili odmor</v>
      </c>
      <c r="E23" t="str">
        <f>SUBSTITUTE(SUBSTITUTE(SUBSTITUTE(SUBSTITUTE(SUBSTITUTE(SUBSTITUTE(SUBSTITUTE(SUBSTITUTE(E10,"1.5K",VO2max!B2),"3K",VO2max!C2),"5K",VO2max!D2),"10K",VO2max!E2),"21k",VO2max!F2),"42K",VO2max!G2),"ZA",VO2max!H2),"HL",VO2max!I2)</f>
        <v>zagrevanje 10min@7:30; 
5x(3min@6:00 + 3min@7:30); 
hlađenje 5min@7:30</v>
      </c>
      <c r="F23" t="str">
        <f>VLOOKUP(F10,Legenda!$A$1:$B$51,2,FALSE)</f>
        <v>5k@6:00 ili odmor</v>
      </c>
      <c r="G23" t="str">
        <f>SUBSTITUTE(SUBSTITUTE(SUBSTITUTE(SUBSTITUTE(SUBSTITUTE(SUBSTITUTE(SUBSTITUTE(SUBSTITUTE(G10,"1.5K",VO2max!B2),"3K",VO2max!C2),"5K",VO2max!D2),"10K",VO2max!E2),"21K",VO2max!F2),"42K",VO2max!G2),"ZA",VO2max!H2),"HL",VO2max!I2)</f>
        <v>zagrevanje 10min@7:30; 
30min@6:20; 
hlađenje 5min@7:30</v>
      </c>
      <c r="H23" t="str">
        <f>VLOOKUP(H10,Legenda!$A$1:$B$51,2,FALSE)</f>
        <v>14k@6:00</v>
      </c>
    </row>
    <row r="24" spans="1:8" x14ac:dyDescent="0.2">
      <c r="A24">
        <v>10</v>
      </c>
      <c r="B24" t="str">
        <f>VLOOKUP(B11,Legenda!$A$1:$B$51,2,FALSE)</f>
        <v>5k@6:00, 4-6 x 100m ubrzanja na kraju treninga</v>
      </c>
      <c r="C24" t="str">
        <f>SUBSTITUTE(SUBSTITUTE(SUBSTITUTE(SUBSTITUTE(SUBSTITUTE(SUBSTITUTE(SUBSTITUTE(SUBSTITUTE(C11,"1.5K",VO2max!B2),"3K",VO2max!C2),"5K",VO2max!D2),"10K",VO2max!E2),"21k",VO2max!F2),"42K",VO2max!G2),"ZA",VO2max!H2),"HL",VO2max!I2)</f>
        <v>zagrevanje 10min@7:30; 
10x(200m@5:40 + 2min@7:30);
hlađenje 5min@7:30</v>
      </c>
      <c r="D24" t="str">
        <f>VLOOKUP(D11,Legenda!$A$1:$B$51,2,FALSE)</f>
        <v>progresivno aerobno trčanje u 3 jednaka segmenta, od sporijeg ka bržem</v>
      </c>
      <c r="E24" t="str">
        <f>SUBSTITUTE(SUBSTITUTE(SUBSTITUTE(SUBSTITUTE(SUBSTITUTE(SUBSTITUTE(SUBSTITUTE(SUBSTITUTE(E11,"1.5K",VO2max!B2),"3K",VO2max!C2),"5K",VO2max!D2),"10K",VO2max!E2),"21k",VO2max!F2),"42K",VO2max!G2),"ZA",VO2max!H2),"HL",VO2max!I2)</f>
        <v>zagrevanje 10min@7:30; 
5x(1k@6:05 + 1min@7:30); 
hlađenje 5min@7:30</v>
      </c>
      <c r="F24" t="str">
        <f>VLOOKUP(F11,Legenda!$A$1:$B$51,2,FALSE)</f>
        <v>5k@6:00 ili odmor</v>
      </c>
      <c r="G24" t="str">
        <f>SUBSTITUTE(SUBSTITUTE(SUBSTITUTE(SUBSTITUTE(SUBSTITUTE(SUBSTITUTE(SUBSTITUTE(SUBSTITUTE(G11,"1.5K",VO2max!B2),"3K",VO2max!C2),"5K",VO2max!D2),"10K",VO2max!E2),"21K",VO2max!F2),"42K",VO2max!G2),"ZA",VO2max!H2),"HL",VO2max!I2)</f>
        <v>zagrevanje 10min@7:30; 
4x(400m@6:00 +400m@6:05 + 3min@7:30)
hlađenje 5min@7:30</v>
      </c>
      <c r="H24" t="str">
        <f>VLOOKUP(H11,Legenda!$A$1:$B$51,2,FALSE)</f>
        <v>14k@6:00</v>
      </c>
    </row>
    <row r="25" spans="1:8" x14ac:dyDescent="0.2">
      <c r="A25">
        <v>11</v>
      </c>
      <c r="B25" t="str">
        <f>VLOOKUP(B12,Legenda!$A$1:$B$51,2,FALSE)</f>
        <v>5k@6:00 ili odmor</v>
      </c>
      <c r="C25" t="str">
        <f>SUBSTITUTE(SUBSTITUTE(SUBSTITUTE(SUBSTITUTE(SUBSTITUTE(SUBSTITUTE(SUBSTITUTE(SUBSTITUTE(C12,"1.5K",VO2max!B2),"3K",VO2max!C2),"5K",VO2max!D2),"10K",VO2max!E2),"21k",VO2max!F2),"42K",VO2max!G2),"ZA",VO2max!H2),"HL",VO2max!I2)</f>
        <v>zagrevanje 10min@7:30; 
6x(1k@6:20 + 1min@7:30);
hlađenje 5min@7:30</v>
      </c>
      <c r="D25" t="str">
        <f>VLOOKUP(D12,Legenda!$A$1:$B$51,2,FALSE)</f>
        <v>5k@6:00 ili odmor</v>
      </c>
      <c r="E25" t="str">
        <f>SUBSTITUTE(SUBSTITUTE(SUBSTITUTE(SUBSTITUTE(SUBSTITUTE(SUBSTITUTE(SUBSTITUTE(SUBSTITUTE(E12,"1.5K",VO2max!B2),"3K",VO2max!C2),"5K",VO2max!D2),"10K",VO2max!E2),"21k",VO2max!F2),"42K",VO2max!G2),"ZA",VO2max!H2),"HL",VO2max!I2)</f>
        <v>zagrevanje 10min@7:30; 
5x(3min@6:00 + 3min@7:30); 
hlađenje 5min@7:30</v>
      </c>
      <c r="F25" t="str">
        <f>VLOOKUP(F12,Legenda!$A$1:$B$51,2,FALSE)</f>
        <v>5k@6:00 ili odmor</v>
      </c>
      <c r="G25" t="str">
        <f>SUBSTITUTE(SUBSTITUTE(SUBSTITUTE(SUBSTITUTE(SUBSTITUTE(SUBSTITUTE(SUBSTITUTE(SUBSTITUTE(G12,"1.5K",VO2max!B2),"3K",VO2max!C2),"5K",VO2max!D2),"10K",VO2max!E2),"21K",VO2max!F2),"42K",VO2max!G2),"ZA",VO2max!H2),"HL",VO2max!I2)</f>
        <v>odmor</v>
      </c>
      <c r="H25">
        <f>VLOOKUP(H12,Legenda!$A$1:$B$51,2,FALSE)</f>
        <v>0</v>
      </c>
    </row>
    <row r="26" spans="1:8" x14ac:dyDescent="0.2">
      <c r="A26">
        <v>12</v>
      </c>
      <c r="B26" t="str">
        <f>VLOOKUP(B13,Legenda!$A$1:$B$51,2,FALSE)</f>
        <v>5k@6:00 ili odmor</v>
      </c>
      <c r="C26" t="str">
        <f>SUBSTITUTE(SUBSTITUTE(SUBSTITUTE(SUBSTITUTE(SUBSTITUTE(SUBSTITUTE(SUBSTITUTE(SUBSTITUTE(C13,"1.5K",VO2max!B3),"3K",VO2max!C3),"5K",VO2max!D3),"10K",VO2max!E3),"21k",VO2max!F3),"42K",VO2max!G3),"ZA",VO2max!H3),"HL",VO2max!I3)</f>
        <v>zagrevanje 10min@; 
10min@; 
hlađenje 5min@</v>
      </c>
      <c r="D26" t="str">
        <f>VLOOKUP(D13,Legenda!$A$1:$B$51,2,FALSE)</f>
        <v>Plivanje, bicikla, šetanje, vežbe snage, ...</v>
      </c>
      <c r="E26" t="str">
        <f>SUBSTITUTE(SUBSTITUTE(SUBSTITUTE(SUBSTITUTE(SUBSTITUTE(SUBSTITUTE(SUBSTITUTE(SUBSTITUTE(E13,"1.5K",VO2max!B3),"3K",VO2max!C3),"5K",VO2max!D3),"10K",VO2max!E3),"21k",VO2max!F3),"42K",VO2max!G3),"ZA",VO2max!H3),"HL",VO2max!I3)</f>
        <v>zagrevanje 10min@; 
3x(1.5min@ + 1.5min@); 
hlađenje 5min@</v>
      </c>
      <c r="F26" t="str">
        <f>VLOOKUP(F13,Legenda!$A$1:$B$51,2,FALSE)</f>
        <v>odmor</v>
      </c>
      <c r="G26" t="str">
        <f>SUBSTITUTE(SUBSTITUTE(SUBSTITUTE(SUBSTITUTE(SUBSTITUTE(SUBSTITUTE(SUBSTITUTE(SUBSTITUTE(G13,"1.5K",VO2max!B3),"3K",VO2max!C3),"5K",VO2max!D3),"10K",VO2max!E3),"21K",VO2max!F3),"42K",VO2max!G3),"ZA",VO2max!H3),"HL",VO2max!I3)</f>
        <v>3k@; 
3x100m ubrzanja
Ubrzanja se trče po ravnoj stazi i sa snagom od 85%.
U pauzi se ili hoda ili lagano trči i ne počinje se ponovo dok se potpuno ne odmori.</v>
      </c>
      <c r="H26">
        <f>VLOOKUP(H13,Legenda!$A$1:$B$51,2,FALSE)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FCE5-AE5A-47B8-9B6C-BDDDF6300EFF}">
  <dimension ref="A1:I96"/>
  <sheetViews>
    <sheetView topLeftCell="A28" workbookViewId="0">
      <selection activeCell="I96" sqref="I96"/>
    </sheetView>
  </sheetViews>
  <sheetFormatPr defaultRowHeight="15" x14ac:dyDescent="0.2"/>
  <cols>
    <col min="1" max="1" width="9.14453125" style="5"/>
    <col min="2" max="2" width="16.0078125" customWidth="1"/>
    <col min="3" max="3" width="86.765625" customWidth="1"/>
    <col min="8" max="8" width="17.62109375" customWidth="1"/>
    <col min="9" max="9" width="89.58984375" customWidth="1"/>
    <col min="10" max="10" width="76.2734375" customWidth="1"/>
    <col min="12" max="12" width="27.3046875" customWidth="1"/>
  </cols>
  <sheetData>
    <row r="1" spans="1:9" x14ac:dyDescent="0.2">
      <c r="A1" s="12" t="s">
        <v>0</v>
      </c>
      <c r="B1" s="12" t="s">
        <v>75</v>
      </c>
      <c r="C1" s="12" t="s">
        <v>82</v>
      </c>
      <c r="G1" s="12" t="s">
        <v>0</v>
      </c>
      <c r="H1" s="12" t="s">
        <v>75</v>
      </c>
      <c r="I1" s="12" t="s">
        <v>82</v>
      </c>
    </row>
    <row r="2" spans="1:9" x14ac:dyDescent="0.2">
      <c r="A2" s="5">
        <v>1</v>
      </c>
      <c r="B2" t="s">
        <v>76</v>
      </c>
      <c r="C2" t="str">
        <f>'5kB'!B15</f>
        <v>Plivanje, bicikla, šetanje, vežbe snage, ...</v>
      </c>
      <c r="G2" s="5">
        <v>1</v>
      </c>
      <c r="H2" t="s">
        <v>76</v>
      </c>
      <c r="I2" t="s">
        <v>49</v>
      </c>
    </row>
    <row r="3" spans="1:9" x14ac:dyDescent="0.2">
      <c r="B3" t="s">
        <v>77</v>
      </c>
      <c r="C3" t="str">
        <f>'5kB'!C15</f>
        <v>zagrevanje 10min@7:30; 
3x(1200m@6:20 +2min@7:30); 
hlađenje 5min@7:30</v>
      </c>
      <c r="H3" t="s">
        <v>77</v>
      </c>
      <c r="I3" t="s">
        <v>240</v>
      </c>
    </row>
    <row r="4" spans="1:9" x14ac:dyDescent="0.2">
      <c r="B4" t="s">
        <v>78</v>
      </c>
      <c r="C4" t="str">
        <f>'5kB'!D15</f>
        <v>5k@6:00 ili odmor</v>
      </c>
      <c r="H4" t="s">
        <v>78</v>
      </c>
      <c r="I4" t="s">
        <v>174</v>
      </c>
    </row>
    <row r="5" spans="1:9" x14ac:dyDescent="0.2">
      <c r="B5" t="s">
        <v>79</v>
      </c>
      <c r="C5" t="str">
        <f>'5kB'!E15</f>
        <v>zagrevanje 10min@7:30; 
8x(200m@6:05 +1min@7:30); 
hlađenje 5min@7:30</v>
      </c>
      <c r="H5" t="s">
        <v>79</v>
      </c>
      <c r="I5" t="s">
        <v>241</v>
      </c>
    </row>
    <row r="6" spans="1:9" x14ac:dyDescent="0.2">
      <c r="B6" t="s">
        <v>80</v>
      </c>
      <c r="C6" t="str">
        <f>'5kB'!F15</f>
        <v>5k@6:00 ili odmor</v>
      </c>
      <c r="H6" t="s">
        <v>80</v>
      </c>
      <c r="I6" t="s">
        <v>174</v>
      </c>
    </row>
    <row r="7" spans="1:9" x14ac:dyDescent="0.2">
      <c r="B7" t="s">
        <v>81</v>
      </c>
      <c r="C7" t="str">
        <f>'5kB'!G15</f>
        <v>zagrevanje 10min@7:30; 
1x20min@6:40; 
hlađenje 5min@7:30</v>
      </c>
      <c r="H7" t="s">
        <v>81</v>
      </c>
      <c r="I7" t="s">
        <v>242</v>
      </c>
    </row>
    <row r="8" spans="1:9" x14ac:dyDescent="0.2">
      <c r="B8" t="s">
        <v>0</v>
      </c>
      <c r="C8" t="str">
        <f>'5kB'!H15</f>
        <v>14k@6:00</v>
      </c>
      <c r="H8" t="s">
        <v>0</v>
      </c>
      <c r="I8" t="s">
        <v>176</v>
      </c>
    </row>
    <row r="9" spans="1:9" x14ac:dyDescent="0.2">
      <c r="A9" s="12" t="s">
        <v>0</v>
      </c>
      <c r="B9" s="12" t="s">
        <v>75</v>
      </c>
      <c r="C9" s="12" t="s">
        <v>82</v>
      </c>
      <c r="G9" s="12" t="s">
        <v>0</v>
      </c>
      <c r="H9" s="12" t="s">
        <v>75</v>
      </c>
      <c r="I9" s="12" t="s">
        <v>82</v>
      </c>
    </row>
    <row r="10" spans="1:9" x14ac:dyDescent="0.2">
      <c r="A10" s="5">
        <v>2</v>
      </c>
      <c r="B10" t="s">
        <v>76</v>
      </c>
      <c r="C10" t="str">
        <f>'5kB'!B16</f>
        <v>5k@6:00 ili odmor</v>
      </c>
      <c r="G10" s="5">
        <v>2</v>
      </c>
      <c r="H10" t="s">
        <v>76</v>
      </c>
      <c r="I10" t="s">
        <v>174</v>
      </c>
    </row>
    <row r="11" spans="1:9" x14ac:dyDescent="0.2">
      <c r="B11" t="s">
        <v>77</v>
      </c>
      <c r="C11" t="str">
        <f>'5kB'!C16</f>
        <v>zagrevanje 10min@7:30; 
16x(100m@5:40 + 1min@7:30);
hlađenje 5min@7:30</v>
      </c>
      <c r="H11" t="s">
        <v>77</v>
      </c>
      <c r="I11" t="s">
        <v>243</v>
      </c>
    </row>
    <row r="12" spans="1:9" x14ac:dyDescent="0.2">
      <c r="B12" t="s">
        <v>78</v>
      </c>
      <c r="C12" t="str">
        <f>'5kB'!D16</f>
        <v>5k@6:00 ili odmor</v>
      </c>
      <c r="H12" t="s">
        <v>78</v>
      </c>
      <c r="I12" t="s">
        <v>174</v>
      </c>
    </row>
    <row r="13" spans="1:9" x14ac:dyDescent="0.2">
      <c r="B13" t="s">
        <v>79</v>
      </c>
      <c r="C13" t="str">
        <f>'5kB'!E16</f>
        <v>zagrevanje 10min@7:30; 
6x(800m@6:05 +30sec@7:30); 
hlađenje 5min@7:30</v>
      </c>
      <c r="H13" t="s">
        <v>79</v>
      </c>
      <c r="I13" t="s">
        <v>244</v>
      </c>
    </row>
    <row r="14" spans="1:9" x14ac:dyDescent="0.2">
      <c r="B14" t="s">
        <v>80</v>
      </c>
      <c r="C14" t="str">
        <f>'5kB'!F16</f>
        <v>5k@6:00 ili odmor</v>
      </c>
      <c r="H14" t="s">
        <v>80</v>
      </c>
      <c r="I14" t="s">
        <v>174</v>
      </c>
    </row>
    <row r="15" spans="1:9" x14ac:dyDescent="0.2">
      <c r="B15" t="s">
        <v>81</v>
      </c>
      <c r="C15" t="str">
        <f>'5kB'!G16</f>
        <v>zagrevanje 10min@7:30; 
2x(1600m@6:05+1min@7:30); 
hlađenje 5min@7:30</v>
      </c>
      <c r="H15" t="s">
        <v>81</v>
      </c>
      <c r="I15" t="s">
        <v>245</v>
      </c>
    </row>
    <row r="16" spans="1:9" x14ac:dyDescent="0.2">
      <c r="B16" t="s">
        <v>0</v>
      </c>
      <c r="C16" t="str">
        <f>'5kB'!H16</f>
        <v>14k@6:00</v>
      </c>
      <c r="H16" t="s">
        <v>0</v>
      </c>
      <c r="I16" t="s">
        <v>176</v>
      </c>
    </row>
    <row r="17" spans="1:9" x14ac:dyDescent="0.2">
      <c r="A17" s="12" t="s">
        <v>0</v>
      </c>
      <c r="B17" s="12" t="s">
        <v>75</v>
      </c>
      <c r="C17" s="12" t="s">
        <v>82</v>
      </c>
      <c r="G17" s="12" t="s">
        <v>0</v>
      </c>
      <c r="H17" s="12" t="s">
        <v>75</v>
      </c>
      <c r="I17" s="12" t="s">
        <v>82</v>
      </c>
    </row>
    <row r="18" spans="1:9" x14ac:dyDescent="0.2">
      <c r="A18" s="5">
        <v>3</v>
      </c>
      <c r="B18" t="s">
        <v>76</v>
      </c>
      <c r="C18" t="str">
        <f>'5kB'!B17</f>
        <v>Plivanje, bicikla, šetanje, vežbe snage, ...</v>
      </c>
      <c r="G18" s="5">
        <v>3</v>
      </c>
      <c r="H18" t="s">
        <v>76</v>
      </c>
      <c r="I18" t="s">
        <v>49</v>
      </c>
    </row>
    <row r="19" spans="1:9" x14ac:dyDescent="0.2">
      <c r="B19" t="s">
        <v>77</v>
      </c>
      <c r="C19" t="str">
        <f>'5kB'!C17</f>
        <v>zagrevanje 10min@7:30; 
4x(1600m@6:20 +2min@7:30); 
hlađenje 5min@7:30</v>
      </c>
      <c r="H19" t="s">
        <v>77</v>
      </c>
      <c r="I19" t="s">
        <v>246</v>
      </c>
    </row>
    <row r="20" spans="1:9" x14ac:dyDescent="0.2">
      <c r="B20" t="s">
        <v>78</v>
      </c>
      <c r="C20" t="str">
        <f>'5kB'!D17</f>
        <v>5k@6:00 ili odmor</v>
      </c>
      <c r="H20" t="s">
        <v>78</v>
      </c>
      <c r="I20" t="s">
        <v>174</v>
      </c>
    </row>
    <row r="21" spans="1:9" x14ac:dyDescent="0.2">
      <c r="B21" t="s">
        <v>79</v>
      </c>
      <c r="C21" t="str">
        <f>'5kB'!E17</f>
        <v>zagrevanje 10min@7:30; 
4x(200m@6:00 + 400m@6:05 + 4min@7:30)
hlađenje 5min@7:30</v>
      </c>
      <c r="H21" t="s">
        <v>79</v>
      </c>
      <c r="I21" t="s">
        <v>247</v>
      </c>
    </row>
    <row r="22" spans="1:9" x14ac:dyDescent="0.2">
      <c r="B22" t="s">
        <v>80</v>
      </c>
      <c r="C22" t="str">
        <f>'5kB'!F17</f>
        <v>5k@6:00 ili odmor</v>
      </c>
      <c r="H22" t="s">
        <v>80</v>
      </c>
      <c r="I22" t="s">
        <v>174</v>
      </c>
    </row>
    <row r="23" spans="1:9" x14ac:dyDescent="0.2">
      <c r="B23" t="s">
        <v>81</v>
      </c>
      <c r="C23" t="str">
        <f>'5kB'!G17</f>
        <v>zagrevanje 10min@7:30; 
1x25min@6:05; 
hlađenje 5min@7:30</v>
      </c>
      <c r="H23" t="s">
        <v>81</v>
      </c>
      <c r="I23" t="s">
        <v>248</v>
      </c>
    </row>
    <row r="24" spans="1:9" x14ac:dyDescent="0.2">
      <c r="B24" t="s">
        <v>0</v>
      </c>
      <c r="C24" t="str">
        <f>'5kB'!H17</f>
        <v>14k@6:00</v>
      </c>
      <c r="H24" t="s">
        <v>0</v>
      </c>
      <c r="I24" t="s">
        <v>176</v>
      </c>
    </row>
    <row r="25" spans="1:9" x14ac:dyDescent="0.2">
      <c r="A25" s="12" t="s">
        <v>0</v>
      </c>
      <c r="B25" s="12" t="s">
        <v>75</v>
      </c>
      <c r="C25" s="12" t="s">
        <v>82</v>
      </c>
      <c r="G25" s="12" t="s">
        <v>0</v>
      </c>
      <c r="H25" s="12" t="s">
        <v>75</v>
      </c>
      <c r="I25" s="12" t="s">
        <v>82</v>
      </c>
    </row>
    <row r="26" spans="1:9" x14ac:dyDescent="0.2">
      <c r="A26" s="5">
        <v>4</v>
      </c>
      <c r="B26" t="s">
        <v>76</v>
      </c>
      <c r="C26" t="str">
        <f>'5kB'!B18</f>
        <v>5k@6:00 ili odmor</v>
      </c>
      <c r="G26" s="5">
        <v>4</v>
      </c>
      <c r="H26" t="s">
        <v>76</v>
      </c>
      <c r="I26" t="s">
        <v>174</v>
      </c>
    </row>
    <row r="27" spans="1:9" x14ac:dyDescent="0.2">
      <c r="B27" t="s">
        <v>77</v>
      </c>
      <c r="C27" t="str">
        <f>'5kB'!C18</f>
        <v>zagrevanje 10min@7:30; 
10x(100m@5:40 + 2min@7:30);
hlađenje 5min@7:30</v>
      </c>
      <c r="H27" t="s">
        <v>77</v>
      </c>
      <c r="I27" t="s">
        <v>249</v>
      </c>
    </row>
    <row r="28" spans="1:9" x14ac:dyDescent="0.2">
      <c r="B28" t="s">
        <v>78</v>
      </c>
      <c r="C28" t="str">
        <f>'5kB'!D18</f>
        <v>5k@6:00 ili odmor</v>
      </c>
      <c r="H28" t="s">
        <v>78</v>
      </c>
      <c r="I28" t="s">
        <v>174</v>
      </c>
    </row>
    <row r="29" spans="1:9" x14ac:dyDescent="0.2">
      <c r="B29" t="s">
        <v>79</v>
      </c>
      <c r="C29" t="str">
        <f>'5kB'!E18</f>
        <v>zagrevanje 10min@7:30; 
12x(400m@6:05 +15sec@7:30); 
hlađenje 5min@7:30</v>
      </c>
      <c r="H29" t="s">
        <v>79</v>
      </c>
      <c r="I29" t="s">
        <v>250</v>
      </c>
    </row>
    <row r="30" spans="1:9" x14ac:dyDescent="0.2">
      <c r="B30" t="s">
        <v>80</v>
      </c>
      <c r="C30" t="str">
        <f>'5kB'!F18</f>
        <v>5k@6:00 ili odmor</v>
      </c>
      <c r="H30" t="s">
        <v>80</v>
      </c>
      <c r="I30" t="s">
        <v>174</v>
      </c>
    </row>
    <row r="31" spans="1:9" x14ac:dyDescent="0.2">
      <c r="B31" t="s">
        <v>81</v>
      </c>
      <c r="C31" t="str">
        <f>'5kB'!G18</f>
        <v>zagrevanje 10min@7:30; 
2x(600m@6:00 +1000m@6:05 + 4min@7:30)
hlađenje 5min@7:30</v>
      </c>
      <c r="H31" t="s">
        <v>81</v>
      </c>
      <c r="I31" t="s">
        <v>251</v>
      </c>
    </row>
    <row r="32" spans="1:9" x14ac:dyDescent="0.2">
      <c r="B32" t="s">
        <v>0</v>
      </c>
      <c r="C32" t="str">
        <f>'5kB'!H18</f>
        <v>14k@6:00</v>
      </c>
      <c r="H32" t="s">
        <v>0</v>
      </c>
      <c r="I32" t="s">
        <v>176</v>
      </c>
    </row>
    <row r="33" spans="1:9" x14ac:dyDescent="0.2">
      <c r="A33" s="12" t="s">
        <v>0</v>
      </c>
      <c r="B33" s="12" t="s">
        <v>75</v>
      </c>
      <c r="C33" s="12" t="s">
        <v>82</v>
      </c>
      <c r="G33" s="12" t="s">
        <v>0</v>
      </c>
      <c r="H33" s="12" t="s">
        <v>75</v>
      </c>
      <c r="I33" s="12" t="s">
        <v>82</v>
      </c>
    </row>
    <row r="34" spans="1:9" x14ac:dyDescent="0.2">
      <c r="A34" s="5">
        <v>5</v>
      </c>
      <c r="B34" t="s">
        <v>76</v>
      </c>
      <c r="C34" t="str">
        <f>'5kB'!B19</f>
        <v>Plivanje, bicikla, šetanje, vežbe snage, ...</v>
      </c>
      <c r="G34" s="5">
        <v>5</v>
      </c>
      <c r="H34" t="s">
        <v>76</v>
      </c>
      <c r="I34" t="s">
        <v>49</v>
      </c>
    </row>
    <row r="35" spans="1:9" x14ac:dyDescent="0.2">
      <c r="B35" t="s">
        <v>77</v>
      </c>
      <c r="C35" t="str">
        <f>'5kB'!C19</f>
        <v>zagrevanje 10min@7:30; 
3x(2km@6:20 +2min@7:30); 
hlađenje 5min@7:30</v>
      </c>
      <c r="H35" t="s">
        <v>77</v>
      </c>
      <c r="I35" t="s">
        <v>252</v>
      </c>
    </row>
    <row r="36" spans="1:9" x14ac:dyDescent="0.2">
      <c r="B36" t="s">
        <v>78</v>
      </c>
      <c r="C36" t="str">
        <f>'5kB'!D19</f>
        <v>5k@6:00 ili odmor</v>
      </c>
      <c r="H36" t="s">
        <v>78</v>
      </c>
      <c r="I36" t="s">
        <v>174</v>
      </c>
    </row>
    <row r="37" spans="1:9" x14ac:dyDescent="0.2">
      <c r="B37" t="s">
        <v>79</v>
      </c>
      <c r="C37" t="str">
        <f>'5kB'!E19</f>
        <v>zagrevanje 10min@7:30; 
6x(200m@5:40 + 400@6:00 + 4min@7:30) 
hlađenje 5min@7:30</v>
      </c>
      <c r="H37" t="s">
        <v>79</v>
      </c>
      <c r="I37" t="s">
        <v>253</v>
      </c>
    </row>
    <row r="38" spans="1:9" x14ac:dyDescent="0.2">
      <c r="B38" t="s">
        <v>80</v>
      </c>
      <c r="C38" t="str">
        <f>'5kB'!F19</f>
        <v>5k@6:00 ili odmor</v>
      </c>
      <c r="H38" t="s">
        <v>80</v>
      </c>
      <c r="I38" t="s">
        <v>174</v>
      </c>
    </row>
    <row r="39" spans="1:9" x14ac:dyDescent="0.2">
      <c r="B39" t="s">
        <v>81</v>
      </c>
      <c r="C39" t="str">
        <f>'5kB'!G19</f>
        <v>zagrevanje 10min@7:30; 
1x30min@6:05; 
hlađenje 5min@7:30</v>
      </c>
      <c r="H39" t="s">
        <v>81</v>
      </c>
      <c r="I39" t="s">
        <v>254</v>
      </c>
    </row>
    <row r="40" spans="1:9" x14ac:dyDescent="0.2">
      <c r="B40" t="s">
        <v>0</v>
      </c>
      <c r="C40" t="str">
        <f>'5kB'!H19</f>
        <v>14k@6:00</v>
      </c>
      <c r="H40" t="s">
        <v>0</v>
      </c>
      <c r="I40" t="s">
        <v>176</v>
      </c>
    </row>
    <row r="41" spans="1:9" x14ac:dyDescent="0.2">
      <c r="A41" s="12" t="s">
        <v>0</v>
      </c>
      <c r="B41" s="12" t="s">
        <v>75</v>
      </c>
      <c r="C41" s="12" t="s">
        <v>82</v>
      </c>
      <c r="G41" s="12" t="s">
        <v>0</v>
      </c>
      <c r="H41" s="12" t="s">
        <v>75</v>
      </c>
      <c r="I41" s="12" t="s">
        <v>82</v>
      </c>
    </row>
    <row r="42" spans="1:9" x14ac:dyDescent="0.2">
      <c r="A42" s="5">
        <v>6</v>
      </c>
      <c r="B42" t="s">
        <v>76</v>
      </c>
      <c r="C42" t="str">
        <f>'5kB'!B20</f>
        <v>5k@6:00 ili odmor</v>
      </c>
      <c r="G42" s="5">
        <v>6</v>
      </c>
      <c r="H42" t="s">
        <v>76</v>
      </c>
      <c r="I42" t="s">
        <v>174</v>
      </c>
    </row>
    <row r="43" spans="1:9" x14ac:dyDescent="0.2">
      <c r="B43" t="s">
        <v>77</v>
      </c>
      <c r="C43" t="str">
        <f>'5kB'!C20</f>
        <v>zagrevanje 10min@7:30; 
8x(200m@5:40 + 1min@7:30);
hlađenje 5min@7:30</v>
      </c>
      <c r="H43" t="s">
        <v>77</v>
      </c>
      <c r="I43" t="s">
        <v>255</v>
      </c>
    </row>
    <row r="44" spans="1:9" x14ac:dyDescent="0.2">
      <c r="B44" t="s">
        <v>78</v>
      </c>
      <c r="C44" t="str">
        <f>'5kB'!D20</f>
        <v>progresivno aerobno trčanje u 3 jednaka segmenta, od sporijeg ka bržem</v>
      </c>
      <c r="H44" t="s">
        <v>78</v>
      </c>
      <c r="I44" t="s">
        <v>53</v>
      </c>
    </row>
    <row r="45" spans="1:9" x14ac:dyDescent="0.2">
      <c r="B45" t="s">
        <v>79</v>
      </c>
      <c r="C45" t="str">
        <f>'5kB'!E20</f>
        <v>zagrevanje 10min@7:30; 
3x(6min@6:20 +3min@7:30); 
hlađenje 5min@7:30</v>
      </c>
      <c r="H45" t="s">
        <v>79</v>
      </c>
      <c r="I45" t="s">
        <v>256</v>
      </c>
    </row>
    <row r="46" spans="1:9" x14ac:dyDescent="0.2">
      <c r="B46" t="s">
        <v>80</v>
      </c>
      <c r="C46" t="str">
        <f>'5kB'!F20</f>
        <v>5k@6:00 ili odmor</v>
      </c>
      <c r="H46" t="s">
        <v>80</v>
      </c>
      <c r="I46" t="s">
        <v>174</v>
      </c>
    </row>
    <row r="47" spans="1:9" x14ac:dyDescent="0.2">
      <c r="B47" t="s">
        <v>81</v>
      </c>
      <c r="C47" t="str">
        <f>'5kB'!G20</f>
        <v>zagrevanje 10min@7:30; 
3x(1600m@6:05 +1min@7:30); 
hlađenje 5min@7:30</v>
      </c>
      <c r="H47" t="s">
        <v>81</v>
      </c>
      <c r="I47" t="s">
        <v>257</v>
      </c>
    </row>
    <row r="48" spans="1:9" x14ac:dyDescent="0.2">
      <c r="B48" t="s">
        <v>0</v>
      </c>
      <c r="C48" t="str">
        <f>'5kB'!H20</f>
        <v>14k@6:00</v>
      </c>
      <c r="H48" t="s">
        <v>0</v>
      </c>
      <c r="I48" t="s">
        <v>176</v>
      </c>
    </row>
    <row r="49" spans="1:9" x14ac:dyDescent="0.2">
      <c r="A49" s="12" t="s">
        <v>0</v>
      </c>
      <c r="B49" s="12" t="s">
        <v>75</v>
      </c>
      <c r="C49" s="12" t="s">
        <v>82</v>
      </c>
      <c r="G49" s="12" t="s">
        <v>0</v>
      </c>
      <c r="H49" s="12" t="s">
        <v>75</v>
      </c>
      <c r="I49" s="12" t="s">
        <v>82</v>
      </c>
    </row>
    <row r="50" spans="1:9" x14ac:dyDescent="0.2">
      <c r="A50" s="5">
        <v>7</v>
      </c>
      <c r="B50" t="s">
        <v>76</v>
      </c>
      <c r="C50" t="str">
        <f>'5kB'!B21</f>
        <v>Plivanje, bicikla, šetanje, vežbe snage, ...</v>
      </c>
      <c r="G50" s="5">
        <v>7</v>
      </c>
      <c r="H50" t="s">
        <v>76</v>
      </c>
      <c r="I50" t="s">
        <v>49</v>
      </c>
    </row>
    <row r="51" spans="1:9" x14ac:dyDescent="0.2">
      <c r="B51" t="s">
        <v>77</v>
      </c>
      <c r="C51" t="str">
        <f>'5kB'!C21</f>
        <v>zagrevanje 10min@7:30; 
5x(1km@6:05 + 1min@7:30);
hlađenje 5min@7:30</v>
      </c>
      <c r="H51" t="s">
        <v>77</v>
      </c>
      <c r="I51" t="s">
        <v>258</v>
      </c>
    </row>
    <row r="52" spans="1:9" x14ac:dyDescent="0.2">
      <c r="B52" t="s">
        <v>78</v>
      </c>
      <c r="C52" t="str">
        <f>'5kB'!D21</f>
        <v>5k@6:00 ili odmor</v>
      </c>
      <c r="H52" t="s">
        <v>78</v>
      </c>
      <c r="I52" t="s">
        <v>174</v>
      </c>
    </row>
    <row r="53" spans="1:9" x14ac:dyDescent="0.2">
      <c r="B53" t="s">
        <v>79</v>
      </c>
      <c r="C53" t="str">
        <f>'5kB'!E21</f>
        <v>zagrevanje 10min@7:30; 
8x(200m@6:00 +1min@7:30); 
hlađenje 5min@7:30</v>
      </c>
      <c r="H53" t="s">
        <v>79</v>
      </c>
      <c r="I53" t="s">
        <v>259</v>
      </c>
    </row>
    <row r="54" spans="1:9" x14ac:dyDescent="0.2">
      <c r="B54" t="s">
        <v>80</v>
      </c>
      <c r="C54" t="str">
        <f>'5kB'!F21</f>
        <v>5k@6:00 ili odmor</v>
      </c>
      <c r="H54" t="s">
        <v>80</v>
      </c>
      <c r="I54" t="s">
        <v>174</v>
      </c>
    </row>
    <row r="55" spans="1:9" x14ac:dyDescent="0.2">
      <c r="B55" t="s">
        <v>81</v>
      </c>
      <c r="C55" t="str">
        <f>'5kB'!G21</f>
        <v>odmor</v>
      </c>
      <c r="H55" t="s">
        <v>81</v>
      </c>
      <c r="I55" t="s">
        <v>88</v>
      </c>
    </row>
    <row r="56" spans="1:9" x14ac:dyDescent="0.2">
      <c r="B56" t="s">
        <v>0</v>
      </c>
      <c r="C56">
        <f>'5kB'!H21</f>
        <v>0</v>
      </c>
      <c r="H56" t="s">
        <v>0</v>
      </c>
      <c r="I56">
        <v>0</v>
      </c>
    </row>
    <row r="57" spans="1:9" x14ac:dyDescent="0.2">
      <c r="A57" s="12" t="s">
        <v>0</v>
      </c>
      <c r="B57" s="12" t="s">
        <v>75</v>
      </c>
      <c r="C57" s="12" t="s">
        <v>82</v>
      </c>
      <c r="G57" s="12" t="s">
        <v>0</v>
      </c>
      <c r="H57" s="12" t="s">
        <v>75</v>
      </c>
      <c r="I57" s="12" t="s">
        <v>82</v>
      </c>
    </row>
    <row r="58" spans="1:9" x14ac:dyDescent="0.2">
      <c r="A58" s="5">
        <v>8</v>
      </c>
      <c r="B58" t="s">
        <v>76</v>
      </c>
      <c r="C58" t="str">
        <f>'5kB'!B22</f>
        <v>5k@6:00 ili odmor</v>
      </c>
      <c r="G58" s="5">
        <v>8</v>
      </c>
      <c r="H58" t="s">
        <v>76</v>
      </c>
      <c r="I58" t="s">
        <v>174</v>
      </c>
    </row>
    <row r="59" spans="1:9" x14ac:dyDescent="0.2">
      <c r="B59" t="s">
        <v>77</v>
      </c>
      <c r="C59" t="str">
        <f>'5kB'!C22</f>
        <v>zagrevanje 10min@7:30; 
8x(100m@5:40 + 2min@7:30);
hlađenje 5min@7:30</v>
      </c>
      <c r="H59" t="s">
        <v>77</v>
      </c>
      <c r="I59" t="s">
        <v>260</v>
      </c>
    </row>
    <row r="60" spans="1:9" x14ac:dyDescent="0.2">
      <c r="B60" t="s">
        <v>78</v>
      </c>
      <c r="C60" t="str">
        <f>'5kB'!D22</f>
        <v>5k@6:00 ili odmor</v>
      </c>
      <c r="H60" t="s">
        <v>78</v>
      </c>
      <c r="I60" t="s">
        <v>174</v>
      </c>
    </row>
    <row r="61" spans="1:9" x14ac:dyDescent="0.2">
      <c r="B61" t="s">
        <v>79</v>
      </c>
      <c r="C61" t="str">
        <f>'5kB'!E22</f>
        <v>zagrevanje 10min@7:30; 
6x(800m@6:05 +30sec@7:30); 
hlađenje 5min@7:30</v>
      </c>
      <c r="H61" t="s">
        <v>79</v>
      </c>
      <c r="I61" t="s">
        <v>244</v>
      </c>
    </row>
    <row r="62" spans="1:9" x14ac:dyDescent="0.2">
      <c r="B62" t="s">
        <v>80</v>
      </c>
      <c r="C62" t="str">
        <f>'5kB'!F22</f>
        <v>5k@6:00 ili odmor</v>
      </c>
      <c r="H62" t="s">
        <v>80</v>
      </c>
      <c r="I62" t="s">
        <v>174</v>
      </c>
    </row>
    <row r="63" spans="1:9" x14ac:dyDescent="0.2">
      <c r="B63" t="s">
        <v>81</v>
      </c>
      <c r="C63" t="str">
        <f>'5kB'!G22</f>
        <v>zagrevanje 10min@7:30; 
3x(600m@6:05 +1000m@6:20+4min@7:30); 
hlađenje 5min@7:30</v>
      </c>
      <c r="H63" t="s">
        <v>81</v>
      </c>
      <c r="I63" t="s">
        <v>261</v>
      </c>
    </row>
    <row r="64" spans="1:9" x14ac:dyDescent="0.2">
      <c r="B64" t="s">
        <v>0</v>
      </c>
      <c r="C64" t="str">
        <f>'5kB'!H22</f>
        <v>14k@6:00</v>
      </c>
      <c r="H64" t="s">
        <v>0</v>
      </c>
      <c r="I64" t="s">
        <v>176</v>
      </c>
    </row>
    <row r="65" spans="1:9" x14ac:dyDescent="0.2">
      <c r="A65" s="12" t="s">
        <v>0</v>
      </c>
      <c r="B65" s="12" t="s">
        <v>75</v>
      </c>
      <c r="C65" s="12" t="s">
        <v>82</v>
      </c>
      <c r="G65" s="12" t="s">
        <v>0</v>
      </c>
      <c r="H65" s="12" t="s">
        <v>75</v>
      </c>
      <c r="I65" s="12" t="s">
        <v>82</v>
      </c>
    </row>
    <row r="66" spans="1:9" x14ac:dyDescent="0.2">
      <c r="A66" s="5">
        <v>9</v>
      </c>
      <c r="B66" t="s">
        <v>76</v>
      </c>
      <c r="C66" t="str">
        <f>'5kB'!B23</f>
        <v>Plivanje, bicikla, šetanje, vežbe snage, ...</v>
      </c>
      <c r="G66" s="5">
        <v>9</v>
      </c>
      <c r="H66" t="s">
        <v>76</v>
      </c>
      <c r="I66" t="s">
        <v>49</v>
      </c>
    </row>
    <row r="67" spans="1:9" x14ac:dyDescent="0.2">
      <c r="B67" t="s">
        <v>77</v>
      </c>
      <c r="C67" t="str">
        <f>'5kB'!C23</f>
        <v>zagrevanje 10min@7:30; 
2x(2k@6:05 + 2min@7:30);
hlađenje 5min@7:30</v>
      </c>
      <c r="H67" t="s">
        <v>77</v>
      </c>
      <c r="I67" t="s">
        <v>262</v>
      </c>
    </row>
    <row r="68" spans="1:9" x14ac:dyDescent="0.2">
      <c r="B68" t="s">
        <v>78</v>
      </c>
      <c r="C68" t="str">
        <f>'5kB'!D23</f>
        <v>5k@6:00 ili odmor</v>
      </c>
      <c r="H68" t="s">
        <v>78</v>
      </c>
      <c r="I68" t="s">
        <v>174</v>
      </c>
    </row>
    <row r="69" spans="1:9" x14ac:dyDescent="0.2">
      <c r="B69" t="s">
        <v>79</v>
      </c>
      <c r="C69" t="str">
        <f>'5kB'!E23</f>
        <v>zagrevanje 10min@7:30; 
5x(3min@6:00 + 3min@7:30); 
hlađenje 5min@7:30</v>
      </c>
      <c r="H69" t="s">
        <v>79</v>
      </c>
      <c r="I69" t="s">
        <v>263</v>
      </c>
    </row>
    <row r="70" spans="1:9" x14ac:dyDescent="0.2">
      <c r="B70" t="s">
        <v>80</v>
      </c>
      <c r="C70" t="str">
        <f>'5kB'!F23</f>
        <v>5k@6:00 ili odmor</v>
      </c>
      <c r="H70" t="s">
        <v>80</v>
      </c>
      <c r="I70" t="s">
        <v>174</v>
      </c>
    </row>
    <row r="71" spans="1:9" x14ac:dyDescent="0.2">
      <c r="B71" t="s">
        <v>81</v>
      </c>
      <c r="C71" t="str">
        <f>'5kB'!G23</f>
        <v>zagrevanje 10min@7:30; 
30min@6:20; 
hlađenje 5min@7:30</v>
      </c>
      <c r="H71" t="s">
        <v>81</v>
      </c>
      <c r="I71" t="s">
        <v>264</v>
      </c>
    </row>
    <row r="72" spans="1:9" x14ac:dyDescent="0.2">
      <c r="B72" t="s">
        <v>0</v>
      </c>
      <c r="C72" t="str">
        <f>'5kB'!H23</f>
        <v>14k@6:00</v>
      </c>
      <c r="H72" t="s">
        <v>0</v>
      </c>
      <c r="I72" t="s">
        <v>176</v>
      </c>
    </row>
    <row r="73" spans="1:9" x14ac:dyDescent="0.2">
      <c r="A73" s="12" t="s">
        <v>0</v>
      </c>
      <c r="B73" s="12" t="s">
        <v>75</v>
      </c>
      <c r="C73" s="12" t="s">
        <v>82</v>
      </c>
      <c r="G73" s="12" t="s">
        <v>0</v>
      </c>
      <c r="H73" s="12" t="s">
        <v>75</v>
      </c>
      <c r="I73" s="12" t="s">
        <v>82</v>
      </c>
    </row>
    <row r="74" spans="1:9" x14ac:dyDescent="0.2">
      <c r="A74" s="5">
        <v>10</v>
      </c>
      <c r="B74" t="s">
        <v>76</v>
      </c>
      <c r="C74" t="str">
        <f>'5kB'!B24</f>
        <v>5k@6:00, 4-6 x 100m ubrzanja na kraju treninga</v>
      </c>
      <c r="G74" s="5">
        <v>10</v>
      </c>
      <c r="H74" t="s">
        <v>76</v>
      </c>
      <c r="I74" t="s">
        <v>175</v>
      </c>
    </row>
    <row r="75" spans="1:9" x14ac:dyDescent="0.2">
      <c r="B75" t="s">
        <v>77</v>
      </c>
      <c r="C75" t="str">
        <f>'5kB'!C24</f>
        <v>zagrevanje 10min@7:30; 
10x(200m@5:40 + 2min@7:30);
hlađenje 5min@7:30</v>
      </c>
      <c r="H75" t="s">
        <v>77</v>
      </c>
      <c r="I75" t="s">
        <v>265</v>
      </c>
    </row>
    <row r="76" spans="1:9" x14ac:dyDescent="0.2">
      <c r="B76" t="s">
        <v>78</v>
      </c>
      <c r="C76" t="str">
        <f>'5kB'!D24</f>
        <v>progresivno aerobno trčanje u 3 jednaka segmenta, od sporijeg ka bržem</v>
      </c>
      <c r="H76" t="s">
        <v>78</v>
      </c>
      <c r="I76" t="s">
        <v>53</v>
      </c>
    </row>
    <row r="77" spans="1:9" x14ac:dyDescent="0.2">
      <c r="B77" t="s">
        <v>79</v>
      </c>
      <c r="C77" t="str">
        <f>'5kB'!E24</f>
        <v>zagrevanje 10min@7:30; 
5x(1k@6:05 + 1min@7:30); 
hlađenje 5min@7:30</v>
      </c>
      <c r="H77" t="s">
        <v>79</v>
      </c>
      <c r="I77" t="s">
        <v>266</v>
      </c>
    </row>
    <row r="78" spans="1:9" x14ac:dyDescent="0.2">
      <c r="B78" t="s">
        <v>80</v>
      </c>
      <c r="C78" t="str">
        <f>'5kB'!F24</f>
        <v>5k@6:00 ili odmor</v>
      </c>
      <c r="H78" t="s">
        <v>80</v>
      </c>
      <c r="I78" t="s">
        <v>174</v>
      </c>
    </row>
    <row r="79" spans="1:9" x14ac:dyDescent="0.2">
      <c r="B79" t="s">
        <v>81</v>
      </c>
      <c r="C79" t="str">
        <f>'5kB'!G24</f>
        <v>zagrevanje 10min@7:30; 
4x(400m@6:00 +400m@6:05 + 3min@7:30)
hlađenje 5min@7:30</v>
      </c>
      <c r="H79" t="s">
        <v>81</v>
      </c>
      <c r="I79" t="s">
        <v>267</v>
      </c>
    </row>
    <row r="80" spans="1:9" x14ac:dyDescent="0.2">
      <c r="B80" t="s">
        <v>0</v>
      </c>
      <c r="C80" t="str">
        <f>'5kB'!H24</f>
        <v>14k@6:00</v>
      </c>
      <c r="H80" t="s">
        <v>0</v>
      </c>
      <c r="I80" t="s">
        <v>176</v>
      </c>
    </row>
    <row r="81" spans="1:9" x14ac:dyDescent="0.2">
      <c r="A81" s="12" t="s">
        <v>0</v>
      </c>
      <c r="B81" s="12" t="s">
        <v>75</v>
      </c>
      <c r="C81" s="12" t="s">
        <v>82</v>
      </c>
      <c r="G81" s="12" t="s">
        <v>0</v>
      </c>
      <c r="H81" s="12" t="s">
        <v>75</v>
      </c>
      <c r="I81" s="12" t="s">
        <v>82</v>
      </c>
    </row>
    <row r="82" spans="1:9" x14ac:dyDescent="0.2">
      <c r="A82" s="5">
        <v>11</v>
      </c>
      <c r="B82" t="s">
        <v>76</v>
      </c>
      <c r="C82" t="str">
        <f>'5kB'!B25</f>
        <v>5k@6:00 ili odmor</v>
      </c>
      <c r="G82" s="5">
        <v>11</v>
      </c>
      <c r="H82" t="s">
        <v>76</v>
      </c>
      <c r="I82" t="s">
        <v>174</v>
      </c>
    </row>
    <row r="83" spans="1:9" x14ac:dyDescent="0.2">
      <c r="B83" t="s">
        <v>77</v>
      </c>
      <c r="C83" t="str">
        <f>'5kB'!C25</f>
        <v>zagrevanje 10min@7:30; 
6x(1k@6:20 + 1min@7:30);
hlađenje 5min@7:30</v>
      </c>
      <c r="H83" t="s">
        <v>77</v>
      </c>
      <c r="I83" t="s">
        <v>268</v>
      </c>
    </row>
    <row r="84" spans="1:9" x14ac:dyDescent="0.2">
      <c r="B84" t="s">
        <v>78</v>
      </c>
      <c r="C84" t="str">
        <f>'5kB'!D25</f>
        <v>5k@6:00 ili odmor</v>
      </c>
      <c r="H84" t="s">
        <v>78</v>
      </c>
      <c r="I84" t="s">
        <v>174</v>
      </c>
    </row>
    <row r="85" spans="1:9" x14ac:dyDescent="0.2">
      <c r="B85" t="s">
        <v>79</v>
      </c>
      <c r="C85" t="str">
        <f>'5kB'!E25</f>
        <v>zagrevanje 10min@7:30; 
5x(3min@6:00 + 3min@7:30); 
hlađenje 5min@7:30</v>
      </c>
      <c r="H85" t="s">
        <v>79</v>
      </c>
      <c r="I85" t="s">
        <v>263</v>
      </c>
    </row>
    <row r="86" spans="1:9" x14ac:dyDescent="0.2">
      <c r="B86" t="s">
        <v>80</v>
      </c>
      <c r="C86" t="str">
        <f>'5kB'!F25</f>
        <v>5k@6:00 ili odmor</v>
      </c>
      <c r="H86" t="s">
        <v>80</v>
      </c>
      <c r="I86" t="s">
        <v>174</v>
      </c>
    </row>
    <row r="87" spans="1:9" x14ac:dyDescent="0.2">
      <c r="B87" t="s">
        <v>81</v>
      </c>
      <c r="C87" t="str">
        <f>'5kB'!G25</f>
        <v>odmor</v>
      </c>
      <c r="H87" t="s">
        <v>81</v>
      </c>
      <c r="I87" t="s">
        <v>88</v>
      </c>
    </row>
    <row r="88" spans="1:9" x14ac:dyDescent="0.2">
      <c r="B88" t="s">
        <v>0</v>
      </c>
      <c r="C88">
        <f>'5kB'!H25</f>
        <v>0</v>
      </c>
      <c r="H88" t="s">
        <v>0</v>
      </c>
      <c r="I88">
        <v>0</v>
      </c>
    </row>
    <row r="89" spans="1:9" x14ac:dyDescent="0.2">
      <c r="A89" s="12" t="s">
        <v>0</v>
      </c>
      <c r="B89" s="12" t="s">
        <v>75</v>
      </c>
      <c r="C89" s="12" t="s">
        <v>82</v>
      </c>
      <c r="G89" s="12" t="s">
        <v>0</v>
      </c>
      <c r="H89" s="12" t="s">
        <v>75</v>
      </c>
      <c r="I89" s="12" t="s">
        <v>82</v>
      </c>
    </row>
    <row r="90" spans="1:9" x14ac:dyDescent="0.2">
      <c r="A90" s="5">
        <v>12</v>
      </c>
      <c r="B90" t="s">
        <v>76</v>
      </c>
      <c r="C90" t="str">
        <f>'5kB'!B26</f>
        <v>5k@6:00 ili odmor</v>
      </c>
      <c r="G90" s="5">
        <v>12</v>
      </c>
      <c r="H90" t="s">
        <v>76</v>
      </c>
      <c r="I90" t="s">
        <v>174</v>
      </c>
    </row>
    <row r="91" spans="1:9" x14ac:dyDescent="0.2">
      <c r="B91" t="s">
        <v>77</v>
      </c>
      <c r="C91" t="str">
        <f>'5kB'!C26</f>
        <v>zagrevanje 10min@; 
10min@; 
hlađenje 5min@</v>
      </c>
      <c r="H91" t="s">
        <v>77</v>
      </c>
      <c r="I91" t="s">
        <v>269</v>
      </c>
    </row>
    <row r="92" spans="1:9" x14ac:dyDescent="0.2">
      <c r="B92" t="s">
        <v>78</v>
      </c>
      <c r="C92" t="str">
        <f>'5kB'!D26</f>
        <v>Plivanje, bicikla, šetanje, vežbe snage, ...</v>
      </c>
      <c r="H92" t="s">
        <v>78</v>
      </c>
      <c r="I92" t="s">
        <v>49</v>
      </c>
    </row>
    <row r="93" spans="1:9" x14ac:dyDescent="0.2">
      <c r="B93" t="s">
        <v>79</v>
      </c>
      <c r="C93" t="str">
        <f>'5kB'!E26</f>
        <v>zagrevanje 10min@; 
3x(1.5min@ + 1.5min@); 
hlađenje 5min@</v>
      </c>
      <c r="H93" t="s">
        <v>79</v>
      </c>
      <c r="I93" t="s">
        <v>270</v>
      </c>
    </row>
    <row r="94" spans="1:9" x14ac:dyDescent="0.2">
      <c r="B94" t="s">
        <v>80</v>
      </c>
      <c r="C94" t="str">
        <f>'5kB'!F26</f>
        <v>odmor</v>
      </c>
      <c r="H94" t="s">
        <v>80</v>
      </c>
      <c r="I94" t="s">
        <v>88</v>
      </c>
    </row>
    <row r="95" spans="1:9" x14ac:dyDescent="0.2">
      <c r="B95" t="s">
        <v>81</v>
      </c>
      <c r="C95" t="str">
        <f>'5kB'!G26</f>
        <v>3k@; 
3x100m ubrzanja
Ubrzanja se trče po ravnoj stazi i sa snagom od 85%.
U pauzi se ili hoda ili lagano trči i ne počinje se ponovo dok se potpuno ne odmori.</v>
      </c>
      <c r="H95" t="s">
        <v>81</v>
      </c>
      <c r="I95" t="s">
        <v>139</v>
      </c>
    </row>
    <row r="96" spans="1:9" x14ac:dyDescent="0.2">
      <c r="B96" t="s">
        <v>0</v>
      </c>
      <c r="C96">
        <f>'5kB'!H26</f>
        <v>0</v>
      </c>
      <c r="H96" t="s">
        <v>0</v>
      </c>
      <c r="I96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workbookViewId="0">
      <selection activeCell="K14" sqref="K14"/>
    </sheetView>
  </sheetViews>
  <sheetFormatPr defaultRowHeight="15" x14ac:dyDescent="0.2"/>
  <cols>
    <col min="3" max="3" width="33.8984375" customWidth="1"/>
    <col min="9" max="9" width="10.625" bestFit="1" customWidth="1"/>
    <col min="15" max="15" width="13.85546875" bestFit="1" customWidth="1"/>
    <col min="22" max="22" width="11.566406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10</v>
      </c>
      <c r="L1" t="s">
        <v>11</v>
      </c>
      <c r="M1" t="s">
        <v>12</v>
      </c>
      <c r="N1" t="s">
        <v>13</v>
      </c>
      <c r="O1" t="s">
        <v>18</v>
      </c>
      <c r="P1" t="s">
        <v>19</v>
      </c>
      <c r="Q1" t="s">
        <v>20</v>
      </c>
      <c r="R1" t="s">
        <v>14</v>
      </c>
      <c r="S1" t="s">
        <v>15</v>
      </c>
      <c r="T1" t="s">
        <v>16</v>
      </c>
      <c r="U1" t="s">
        <v>22</v>
      </c>
      <c r="V1" t="s">
        <v>28</v>
      </c>
      <c r="W1" t="s">
        <v>29</v>
      </c>
    </row>
    <row r="2" spans="1:23" x14ac:dyDescent="0.2">
      <c r="A2">
        <v>1</v>
      </c>
      <c r="B2" t="s">
        <v>8</v>
      </c>
      <c r="C2" s="1" t="s">
        <v>9</v>
      </c>
      <c r="K2" s="7">
        <v>45</v>
      </c>
      <c r="L2" s="8" t="s">
        <v>23</v>
      </c>
      <c r="M2" s="8" t="s">
        <v>24</v>
      </c>
      <c r="N2" s="8" t="s">
        <v>25</v>
      </c>
      <c r="O2" s="8" t="s">
        <v>21</v>
      </c>
      <c r="P2" s="8" t="s">
        <v>26</v>
      </c>
      <c r="Q2" s="8" t="s">
        <v>27</v>
      </c>
      <c r="R2" s="9">
        <f>L2/1.5</f>
        <v>0.16481481481481483</v>
      </c>
      <c r="S2" s="9">
        <f>M2/3</f>
        <v>0.17592592592592593</v>
      </c>
      <c r="T2" s="9">
        <f>N2/5</f>
        <v>0.18194444444444444</v>
      </c>
      <c r="U2" s="9">
        <f>O2/10</f>
        <v>0.18861111111111112</v>
      </c>
      <c r="V2" s="6" t="str">
        <f>MID(TEXT(P2/21.1,"hh:mm:ss"),5,7)</f>
        <v>4:45</v>
      </c>
      <c r="W2" s="6" t="str">
        <f>MID(TEXT(Q2/42.2,"hh:mm:ss"),5,7)</f>
        <v>4:56</v>
      </c>
    </row>
    <row r="3" spans="1:23" x14ac:dyDescent="0.2">
      <c r="K3" s="7">
        <v>46</v>
      </c>
      <c r="L3" s="9">
        <v>0.24236111111111111</v>
      </c>
      <c r="M3" s="9">
        <v>0.5180555555555556</v>
      </c>
      <c r="N3" s="9">
        <v>0.89236111111111116</v>
      </c>
      <c r="O3" s="8" t="s">
        <v>30</v>
      </c>
      <c r="P3" s="8" t="s">
        <v>31</v>
      </c>
      <c r="Q3" s="8" t="s">
        <v>32</v>
      </c>
      <c r="R3" s="7"/>
      <c r="S3" s="7"/>
      <c r="T3" s="7"/>
      <c r="U3" s="7"/>
      <c r="V3" s="7"/>
      <c r="W3" s="7"/>
    </row>
    <row r="4" spans="1:23" x14ac:dyDescent="0.2">
      <c r="O4" s="4"/>
      <c r="P4" s="4"/>
      <c r="Q4" s="4"/>
    </row>
    <row r="5" spans="1:23" x14ac:dyDescent="0.2">
      <c r="O5" s="4"/>
      <c r="P5" s="4"/>
      <c r="Q5" s="4"/>
    </row>
    <row r="6" spans="1:23" x14ac:dyDescent="0.2">
      <c r="O6" s="4"/>
      <c r="P6" s="4"/>
      <c r="Q6" s="4"/>
    </row>
    <row r="7" spans="1:23" x14ac:dyDescent="0.2">
      <c r="P7" s="4"/>
      <c r="Q7" s="4"/>
    </row>
    <row r="8" spans="1:23" x14ac:dyDescent="0.2">
      <c r="P8" s="4"/>
      <c r="Q8" s="4"/>
    </row>
    <row r="9" spans="1:23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17</v>
      </c>
      <c r="J9" t="s">
        <v>17</v>
      </c>
      <c r="K9" s="5" t="s">
        <v>17</v>
      </c>
      <c r="L9" t="s">
        <v>33</v>
      </c>
    </row>
    <row r="10" spans="1:23" x14ac:dyDescent="0.2">
      <c r="C10" s="2" t="e">
        <f ca="1">SUBSTITUTE(C2,"10K",J10)</f>
        <v>#REF!</v>
      </c>
      <c r="I10" s="2" t="e">
        <f ca="1">VLOOKUP(VO2max!A2,K:W,11,FALSE)</f>
        <v>#REF!</v>
      </c>
      <c r="J10" t="e">
        <f ca="1">MID(TEXT(I10,"hh:mm:ss AM/PM"),2,4)</f>
        <v>#REF!</v>
      </c>
      <c r="K10" s="2" t="e">
        <f ca="1">MID(TEXT(VLOOKUP(VO2max!A2,K:W,11,FALSE),"hh:mm:ss AM/PM"),2,4)</f>
        <v>#REF!</v>
      </c>
    </row>
    <row r="13" spans="1:23" x14ac:dyDescent="0.2">
      <c r="C13" s="2" t="str">
        <f>SUBSTITUTE(C2,"10K",J13)</f>
        <v>2x10min@5:00 +4min odmor</v>
      </c>
      <c r="I13" s="2">
        <f>VLOOKUP(VO2max!A2,VO2maxPace!$A$1:$M$50,11,FALSE)</f>
        <v>0.20854166666666668</v>
      </c>
      <c r="J13" t="str">
        <f>MID(TEXT(I13,"hh:mm:ss AM/PM"),2,4)</f>
        <v>5:00</v>
      </c>
      <c r="K13" s="2" t="str">
        <f>MID(TEXT(VLOOKUP(VO2max!A2,VO2maxPace!$A$1:$M$50,11,FALSE),"hh:mm:ss AM/PM"),2,4)</f>
        <v>5:00</v>
      </c>
    </row>
    <row r="15" spans="1:23" x14ac:dyDescent="0.2">
      <c r="I15">
        <f>VO2maxPace!A2</f>
        <v>45</v>
      </c>
      <c r="K15" s="2"/>
      <c r="Q15" s="2"/>
      <c r="S15" s="2"/>
    </row>
    <row r="16" spans="1:23" x14ac:dyDescent="0.2">
      <c r="C16" t="str">
        <f>SUBSTITUTE(SUBSTITUTE(SUBSTITUTE(SUBSTITUTE(SUBSTITUTE(SUBSTITUTE(C2,"1.5K",VO2max!B2),"3K",VO2max!C2),"5K",VO2max!D2),"10K",VO2max!E2),"21k",VO2max!F2),"42K",VO2max!G2)</f>
        <v>2x10min@6:20 +4min odmor</v>
      </c>
    </row>
    <row r="18" spans="3:3" x14ac:dyDescent="0.2">
      <c r="C18" s="2" t="str">
        <f>VO2max!E2</f>
        <v>6:20</v>
      </c>
    </row>
  </sheetData>
  <hyperlinks>
    <hyperlink ref="C2" r:id="rId1" xr:uid="{7AA773EB-7A50-49D8-A57F-0E551120D509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F2F1-9B94-4F05-AC92-AAE056DD6C45}">
  <dimension ref="A1:H10"/>
  <sheetViews>
    <sheetView workbookViewId="0">
      <selection activeCell="C10" sqref="C10"/>
    </sheetView>
  </sheetViews>
  <sheetFormatPr defaultRowHeight="15" x14ac:dyDescent="0.2"/>
  <cols>
    <col min="3" max="3" width="82.058593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41.25" x14ac:dyDescent="0.2">
      <c r="A2">
        <v>1</v>
      </c>
      <c r="B2" t="s">
        <v>8</v>
      </c>
      <c r="C2" s="10" t="s">
        <v>38</v>
      </c>
    </row>
    <row r="9" spans="1:8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</row>
    <row r="10" spans="1:8" x14ac:dyDescent="0.2">
      <c r="A10">
        <v>1</v>
      </c>
      <c r="C10" t="str">
        <f>SUBSTITUTE(SUBSTITUTE(SUBSTITUTE(SUBSTITUTE(SUBSTITUTE(SUBSTITUTE(SUBSTITUTE(SUBSTITUTE(C2,"1.5K",VO2max!B2),"3K",VO2max!C2),"5K",VO2max!D2),"10K",VO2max!E2),"21k",VO2max!F2),"42K",VO2max!G2),"ZA",VO2max!H2),"HL",VO2max!I2)</f>
        <v>zagrevanje 15min@7:30; 
2x10min@6:20 +4min odmor; 
hlađenje 10min@7:30</v>
      </c>
    </row>
  </sheetData>
  <hyperlinks>
    <hyperlink ref="C2" r:id="rId1" display="2x10min@10K +4min odmor" xr:uid="{42A3C039-EA52-46B3-98A4-8F2C41F2FFD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26F0-6FD8-4BBF-87E1-3613A8EA055F}">
  <dimension ref="A1:H26"/>
  <sheetViews>
    <sheetView topLeftCell="A4" workbookViewId="0">
      <selection activeCell="E11" sqref="E11"/>
    </sheetView>
  </sheetViews>
  <sheetFormatPr defaultRowHeight="15" x14ac:dyDescent="0.2"/>
  <cols>
    <col min="2" max="2" width="37.93359375" bestFit="1" customWidth="1"/>
    <col min="3" max="3" width="48.6953125" customWidth="1"/>
    <col min="4" max="4" width="45.19921875" customWidth="1"/>
    <col min="5" max="5" width="69.546875" customWidth="1"/>
    <col min="7" max="7" width="32.41796875" customWidth="1"/>
    <col min="8" max="8" width="15.73828125" customWidth="1"/>
  </cols>
  <sheetData>
    <row r="1" spans="1:8" s="12" customForma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 ht="60" customHeight="1" x14ac:dyDescent="0.2">
      <c r="A2">
        <v>1</v>
      </c>
      <c r="B2" t="s">
        <v>44</v>
      </c>
      <c r="C2" s="11" t="s">
        <v>62</v>
      </c>
      <c r="D2" t="s">
        <v>8</v>
      </c>
      <c r="E2" s="11" t="s">
        <v>204</v>
      </c>
      <c r="F2" t="s">
        <v>45</v>
      </c>
      <c r="G2" s="11" t="s">
        <v>59</v>
      </c>
      <c r="H2" t="s">
        <v>48</v>
      </c>
    </row>
    <row r="3" spans="1:8" ht="41.25" x14ac:dyDescent="0.2">
      <c r="A3">
        <v>2</v>
      </c>
      <c r="B3" t="s">
        <v>45</v>
      </c>
      <c r="C3" s="11" t="s">
        <v>60</v>
      </c>
      <c r="D3" t="s">
        <v>8</v>
      </c>
      <c r="E3" s="11" t="s">
        <v>91</v>
      </c>
      <c r="F3" t="s">
        <v>45</v>
      </c>
      <c r="G3" s="11" t="s">
        <v>61</v>
      </c>
      <c r="H3" t="s">
        <v>55</v>
      </c>
    </row>
    <row r="4" spans="1:8" ht="41.25" x14ac:dyDescent="0.2">
      <c r="A4">
        <v>3</v>
      </c>
      <c r="B4" t="s">
        <v>44</v>
      </c>
      <c r="C4" s="11" t="s">
        <v>63</v>
      </c>
      <c r="D4" t="s">
        <v>8</v>
      </c>
      <c r="E4" s="11" t="s">
        <v>205</v>
      </c>
      <c r="F4" t="s">
        <v>45</v>
      </c>
      <c r="G4" s="11" t="s">
        <v>64</v>
      </c>
      <c r="H4" t="s">
        <v>48</v>
      </c>
    </row>
    <row r="5" spans="1:8" ht="54.75" x14ac:dyDescent="0.2">
      <c r="A5">
        <v>4</v>
      </c>
      <c r="B5" t="s">
        <v>45</v>
      </c>
      <c r="C5" s="11" t="s">
        <v>65</v>
      </c>
      <c r="D5" t="s">
        <v>8</v>
      </c>
      <c r="E5" s="11" t="s">
        <v>71</v>
      </c>
      <c r="F5" t="s">
        <v>45</v>
      </c>
      <c r="G5" s="11" t="s">
        <v>112</v>
      </c>
      <c r="H5" t="s">
        <v>55</v>
      </c>
    </row>
    <row r="6" spans="1:8" ht="41.25" x14ac:dyDescent="0.2">
      <c r="A6">
        <v>5</v>
      </c>
      <c r="B6" t="s">
        <v>44</v>
      </c>
      <c r="C6" s="11" t="s">
        <v>68</v>
      </c>
      <c r="D6" t="s">
        <v>8</v>
      </c>
      <c r="E6" s="11" t="s">
        <v>111</v>
      </c>
      <c r="F6" t="s">
        <v>45</v>
      </c>
      <c r="G6" s="11" t="s">
        <v>69</v>
      </c>
      <c r="H6" t="s">
        <v>48</v>
      </c>
    </row>
    <row r="7" spans="1:8" ht="41.25" x14ac:dyDescent="0.2">
      <c r="A7">
        <v>6</v>
      </c>
      <c r="B7" t="s">
        <v>45</v>
      </c>
      <c r="C7" s="11" t="s">
        <v>70</v>
      </c>
      <c r="D7" t="s">
        <v>47</v>
      </c>
      <c r="E7" s="11" t="s">
        <v>72</v>
      </c>
      <c r="F7" t="s">
        <v>45</v>
      </c>
      <c r="G7" s="11" t="s">
        <v>73</v>
      </c>
      <c r="H7" t="s">
        <v>55</v>
      </c>
    </row>
    <row r="8" spans="1:8" ht="68.25" x14ac:dyDescent="0.2">
      <c r="A8">
        <v>7</v>
      </c>
      <c r="B8" t="s">
        <v>44</v>
      </c>
      <c r="C8" s="11" t="s">
        <v>86</v>
      </c>
      <c r="D8" t="s">
        <v>8</v>
      </c>
      <c r="E8" s="11" t="s">
        <v>87</v>
      </c>
      <c r="F8" t="s">
        <v>45</v>
      </c>
      <c r="G8" s="11" t="s">
        <v>88</v>
      </c>
      <c r="H8" s="11" t="s">
        <v>89</v>
      </c>
    </row>
    <row r="9" spans="1:8" ht="54.75" x14ac:dyDescent="0.2">
      <c r="A9">
        <v>8</v>
      </c>
      <c r="B9" t="s">
        <v>45</v>
      </c>
      <c r="C9" s="11" t="s">
        <v>90</v>
      </c>
      <c r="D9" t="s">
        <v>8</v>
      </c>
      <c r="E9" s="11" t="s">
        <v>91</v>
      </c>
      <c r="F9" t="s">
        <v>45</v>
      </c>
      <c r="G9" s="11" t="s">
        <v>92</v>
      </c>
      <c r="H9" t="s">
        <v>55</v>
      </c>
    </row>
    <row r="10" spans="1:8" ht="41.25" x14ac:dyDescent="0.2">
      <c r="A10">
        <v>9</v>
      </c>
      <c r="B10" t="s">
        <v>44</v>
      </c>
      <c r="C10" s="11" t="s">
        <v>93</v>
      </c>
      <c r="D10" t="s">
        <v>8</v>
      </c>
      <c r="E10" s="11" t="s">
        <v>94</v>
      </c>
      <c r="F10" t="s">
        <v>45</v>
      </c>
      <c r="G10" s="11" t="s">
        <v>95</v>
      </c>
      <c r="H10" t="s">
        <v>48</v>
      </c>
    </row>
    <row r="11" spans="1:8" ht="41.25" x14ac:dyDescent="0.2">
      <c r="A11">
        <v>10</v>
      </c>
      <c r="B11" t="s">
        <v>46</v>
      </c>
      <c r="C11" s="11" t="s">
        <v>96</v>
      </c>
      <c r="D11" t="s">
        <v>47</v>
      </c>
      <c r="E11" s="11" t="s">
        <v>97</v>
      </c>
      <c r="F11" t="s">
        <v>45</v>
      </c>
      <c r="G11" s="11" t="s">
        <v>98</v>
      </c>
      <c r="H11" t="s">
        <v>48</v>
      </c>
    </row>
    <row r="12" spans="1:8" ht="68.25" x14ac:dyDescent="0.2">
      <c r="A12">
        <v>11</v>
      </c>
      <c r="B12" t="s">
        <v>45</v>
      </c>
      <c r="C12" s="11" t="s">
        <v>99</v>
      </c>
      <c r="D12" t="s">
        <v>8</v>
      </c>
      <c r="E12" s="11" t="s">
        <v>94</v>
      </c>
      <c r="F12" t="s">
        <v>45</v>
      </c>
      <c r="G12" s="11" t="s">
        <v>88</v>
      </c>
      <c r="H12" s="11" t="s">
        <v>100</v>
      </c>
    </row>
    <row r="13" spans="1:8" ht="81" x14ac:dyDescent="0.2">
      <c r="A13">
        <v>12</v>
      </c>
      <c r="B13" t="s">
        <v>8</v>
      </c>
      <c r="C13" s="11" t="s">
        <v>101</v>
      </c>
      <c r="D13" t="s">
        <v>44</v>
      </c>
      <c r="E13" s="11" t="s">
        <v>102</v>
      </c>
      <c r="F13" t="s">
        <v>88</v>
      </c>
      <c r="G13" t="s">
        <v>103</v>
      </c>
      <c r="H13" s="11" t="s">
        <v>104</v>
      </c>
    </row>
    <row r="14" spans="1:8" s="12" customFormat="1" x14ac:dyDescent="0.2">
      <c r="A14" s="12" t="s">
        <v>0</v>
      </c>
      <c r="B14" s="12" t="s">
        <v>1</v>
      </c>
      <c r="C14" s="12" t="s">
        <v>2</v>
      </c>
      <c r="D14" s="12" t="s">
        <v>3</v>
      </c>
      <c r="E14" s="12" t="s">
        <v>4</v>
      </c>
      <c r="F14" s="12" t="s">
        <v>5</v>
      </c>
      <c r="G14" s="12" t="s">
        <v>6</v>
      </c>
      <c r="H14" s="12" t="s">
        <v>7</v>
      </c>
    </row>
    <row r="15" spans="1:8" ht="15.75" customHeight="1" x14ac:dyDescent="0.2">
      <c r="A15">
        <v>1</v>
      </c>
      <c r="B15" t="str">
        <f>VLOOKUP(B2,Legenda!$A$1:$B$51,2,FALSE)</f>
        <v>Plivanje, bicikla, šetanje, vežbe snage, ...</v>
      </c>
      <c r="C15" t="str">
        <f>SUBSTITUTE(SUBSTITUTE(SUBSTITUTE(SUBSTITUTE(SUBSTITUTE(SUBSTITUTE(SUBSTITUTE(SUBSTITUTE(C2,"1.5K",VO2max!B2),"3K",VO2max!C2),"5K",VO2max!D2),"10K",VO2max!E2),"21k",VO2max!F2),"42K",VO2max!G2),"ZA",VO2max!H2),"HL",VO2max!I2)</f>
        <v>zagrevanje 15min@7:30; 
2x(10min@6:20 +4min@7:30); 
hlađenje 10min@7:30</v>
      </c>
      <c r="D15" t="str">
        <f>VLOOKUP(D2,Legenda!$A$1:$B$51,2,FALSE)</f>
        <v>5k@6:00 ili odmor</v>
      </c>
      <c r="E15" t="str">
        <f>SUBSTITUTE(SUBSTITUTE(SUBSTITUTE(SUBSTITUTE(SUBSTITUTE(SUBSTITUTE(SUBSTITUTE(SUBSTITUTE(E2,"1.5K",VO2max!B2),"3K",VO2max!C2),"5K",VO2max!D2),"10K",VO2max!E2),"21k",VO2max!F2),"42K",VO2max!G2),"ZA",VO2max!H2),"HL",VO2max!I2)</f>
        <v>zagrevanje 15min@7:30; 
8x(400m@6:05 +1min@7:30); 
hlađenje 10min@7:30</v>
      </c>
      <c r="F15" t="str">
        <f>VLOOKUP(F2,Legenda!$A$1:$B$51,2,FALSE)</f>
        <v>5k@6:00 ili odmor</v>
      </c>
      <c r="G15" t="str">
        <f>SUBSTITUTE(SUBSTITUTE(SUBSTITUTE(SUBSTITUTE(SUBSTITUTE(SUBSTITUTE(SUBSTITUTE(SUBSTITUTE(G2,"1.5K",VO2max!B2),"3K",VO2max!C2),"5K",VO2max!D2),"10K",VO2max!E2),"21K",VO2max!F2),"42K",VO2max!G2),"ZA",VO2max!H2),"HL",VO2max!I2)</f>
        <v>zagrevanje 15min@7:30; 
1x30min@6:40; 
hlađenje 10min@7:30</v>
      </c>
      <c r="H15" t="str">
        <f>VLOOKUP(H2,Legenda!$A$1:$B$51,2,FALSE)</f>
        <v>14k@6:00</v>
      </c>
    </row>
    <row r="16" spans="1:8" x14ac:dyDescent="0.2">
      <c r="A16">
        <v>2</v>
      </c>
      <c r="B16" t="str">
        <f>VLOOKUP(B3,Legenda!$A$1:$B$51,2,FALSE)</f>
        <v>5k@6:00 ili odmor</v>
      </c>
      <c r="C16" t="str">
        <f>SUBSTITUTE(SUBSTITUTE(SUBSTITUTE(SUBSTITUTE(SUBSTITUTE(SUBSTITUTE(SUBSTITUTE(SUBSTITUTE(C3,"1.5K",VO2max!B2),"3K",VO2max!C2),"5K",VO2max!D2),"10K",VO2max!E2),"21k",VO2max!F2),"42K",VO2max!G2),"ZA",VO2max!H2),"HL",VO2max!I2)</f>
        <v>zagrevanje 15min@7:30; 
16x(100m@6:00 + 1min@7:30);
hlađenje 10min@7:30</v>
      </c>
      <c r="D16" t="str">
        <f>VLOOKUP(D3,Legenda!$A$1:$B$51,2,FALSE)</f>
        <v>5k@6:00 ili odmor</v>
      </c>
      <c r="E16" t="str">
        <f>SUBSTITUTE(SUBSTITUTE(SUBSTITUTE(SUBSTITUTE(SUBSTITUTE(SUBSTITUTE(SUBSTITUTE(SUBSTITUTE(E3,"1.5K",VO2max!B2),"3K",VO2max!C2),"5K",VO2max!D2),"10K",VO2max!E2),"21k",VO2max!F2),"42K",VO2max!G2),"ZA",VO2max!H2),"HL",VO2max!I2)</f>
        <v>zagrevanje 15min@7:30; 
6x(800m@6:05 +30sec@7:30); 
hlađenje 10min@7:30</v>
      </c>
      <c r="F16" t="str">
        <f>VLOOKUP(F3,Legenda!$A$1:$B$51,2,FALSE)</f>
        <v>5k@6:00 ili odmor</v>
      </c>
      <c r="G16" t="str">
        <f>SUBSTITUTE(SUBSTITUTE(SUBSTITUTE(SUBSTITUTE(SUBSTITUTE(SUBSTITUTE(SUBSTITUTE(SUBSTITUTE(G3,"1.5K",VO2max!B2),"3K",VO2max!C2),"5K",VO2max!D2),"10K",VO2max!E2),"21K",VO2max!F2),"42K",VO2max!G2),"ZA",VO2max!H2),"HL",VO2max!I2)</f>
        <v>zagrevanje 15min@7:30; 
2x(3km@6:20+4min@7:30); 
hlađenje 10min@7:30</v>
      </c>
      <c r="H16" t="str">
        <f>VLOOKUP(H3,Legenda!$A$1:$B$51,2,FALSE)</f>
        <v>14k@6:00</v>
      </c>
    </row>
    <row r="17" spans="1:8" x14ac:dyDescent="0.2">
      <c r="A17">
        <v>3</v>
      </c>
      <c r="B17" t="str">
        <f>VLOOKUP(B4,Legenda!$A$1:$B$51,2,FALSE)</f>
        <v>Plivanje, bicikla, šetanje, vežbe snage, ...</v>
      </c>
      <c r="C17" t="str">
        <f>SUBSTITUTE(SUBSTITUTE(SUBSTITUTE(SUBSTITUTE(SUBSTITUTE(SUBSTITUTE(SUBSTITUTE(SUBSTITUTE(C4,"1.5K",VO2max!B2),"3K",VO2max!C2),"5K",VO2max!D2),"10K",VO2max!E2),"21k",VO2max!F2),"42K",VO2max!G2),"ZA",VO2max!H2),"HL",VO2max!I2)</f>
        <v>zagrevanje 15min@7:30; 
3x(10min@6:20 +4min@7:30); 
hlađenje 10min@7:30</v>
      </c>
      <c r="D17" t="str">
        <f>VLOOKUP(D4,Legenda!$A$1:$B$51,2,FALSE)</f>
        <v>5k@6:00 ili odmor</v>
      </c>
      <c r="E17" t="str">
        <f>SUBSTITUTE(SUBSTITUTE(SUBSTITUTE(SUBSTITUTE(SUBSTITUTE(SUBSTITUTE(SUBSTITUTE(SUBSTITUTE(E4,"1.5K",VO2max!B2),"3K",VO2max!C2),"5K",VO2max!D2),"10K",VO2max!E2),"21k",VO2max!F2),"42K",VO2max!G2),"ZA",VO2max!H2),"HL",VO2max!I2)</f>
        <v>zagrevanje 15min@7:30; 
2x(800m@6:20 + 600m@6:05 + 4min@7:30)
hlađenje 10min@7:30</v>
      </c>
      <c r="F17" t="str">
        <f>VLOOKUP(F4,Legenda!$A$1:$B$51,2,FALSE)</f>
        <v>5k@6:00 ili odmor</v>
      </c>
      <c r="G17" t="str">
        <f>SUBSTITUTE(SUBSTITUTE(SUBSTITUTE(SUBSTITUTE(SUBSTITUTE(SUBSTITUTE(SUBSTITUTE(SUBSTITUTE(G4,"1.5K",VO2max!B2),"3K",VO2max!C2),"5K",VO2max!D2),"10K",VO2max!E2),"21K",VO2max!F2),"42K",VO2max!G2),"ZA",VO2max!H2),"HL",VO2max!I2)</f>
        <v>zagrevanje 15min@7:30; 
1x40min@6:40; 
hlađenje 10min@7:30</v>
      </c>
      <c r="H17" t="str">
        <f>VLOOKUP(H4,Legenda!$A$1:$B$51,2,FALSE)</f>
        <v>14k@6:00</v>
      </c>
    </row>
    <row r="18" spans="1:8" x14ac:dyDescent="0.2">
      <c r="A18">
        <v>4</v>
      </c>
      <c r="B18" t="str">
        <f>VLOOKUP(B5,Legenda!$A$1:$B$51,2,FALSE)</f>
        <v>5k@6:00 ili odmor</v>
      </c>
      <c r="C18" t="str">
        <f>SUBSTITUTE(SUBSTITUTE(SUBSTITUTE(SUBSTITUTE(SUBSTITUTE(SUBSTITUTE(SUBSTITUTE(SUBSTITUTE(C5,"1.5K",VO2max!B2),"3K",VO2max!C2),"5K",VO2max!D2),"10K",VO2max!E2),"21k",VO2max!F2),"42K",VO2max!G2),"ZA",VO2max!H2),"HL",VO2max!I2)</f>
        <v>zagrevanje 15min@7:30; 
10x(200m@6:05 + 2min@7:30);
hlađenje 10min@7:30</v>
      </c>
      <c r="D18" t="str">
        <f>VLOOKUP(D5,Legenda!$A$1:$B$51,2,FALSE)</f>
        <v>5k@6:00 ili odmor</v>
      </c>
      <c r="E18" t="str">
        <f>SUBSTITUTE(SUBSTITUTE(SUBSTITUTE(SUBSTITUTE(SUBSTITUTE(SUBSTITUTE(SUBSTITUTE(SUBSTITUTE(E5,"1.5K",VO2max!B2),"3K",VO2max!C2),"5K",VO2max!D2),"10K",VO2max!E2),"21k",VO2max!F2),"42K",VO2max!G2),"ZA",VO2max!H2),"HL",VO2max!I2)</f>
        <v>zagrevanje 15min@7:30; 
12x(400m@6:05 +15sec@7:30); 
hlađenje 10min@7:30</v>
      </c>
      <c r="F18" t="str">
        <f>VLOOKUP(F5,Legenda!$A$1:$B$51,2,FALSE)</f>
        <v>5k@6:00 ili odmor</v>
      </c>
      <c r="G18" t="str">
        <f>SUBSTITUTE(SUBSTITUTE(SUBSTITUTE(SUBSTITUTE(SUBSTITUTE(SUBSTITUTE(SUBSTITUTE(SUBSTITUTE(G5,"1.5K",VO2max!B2),"3K",VO2max!C2),"5K",VO2max!D2),"10K",VO2max!E2),"21K",VO2max!F2),"42K",VO2max!G2),"ZA",VO2max!H2),"HL",VO2max!I2)</f>
        <v>zagrevanje 15min@7:30; 
2x(400m@6:05 +800m@6:20+3200m@6:40 + 4min@7:30)
hlađenje 10min@7:30</v>
      </c>
      <c r="H18" t="str">
        <f>VLOOKUP(H5,Legenda!$A$1:$B$51,2,FALSE)</f>
        <v>14k@6:00</v>
      </c>
    </row>
    <row r="19" spans="1:8" x14ac:dyDescent="0.2">
      <c r="A19">
        <v>5</v>
      </c>
      <c r="B19" t="str">
        <f>VLOOKUP(B6,Legenda!$A$1:$B$51,2,FALSE)</f>
        <v>Plivanje, bicikla, šetanje, vežbe snage, ...</v>
      </c>
      <c r="C19" t="str">
        <f>SUBSTITUTE(SUBSTITUTE(SUBSTITUTE(SUBSTITUTE(SUBSTITUTE(SUBSTITUTE(SUBSTITUTE(SUBSTITUTE(C6,"1.5K",VO2max!B2),"3K",VO2max!C2),"5K",VO2max!D2),"10K",VO2max!E2),"21k",VO2max!F2),"42K",VO2max!G2),"ZA",VO2max!H2),"HL",VO2max!I2)</f>
        <v>zagrevanje 15min@7:30; 
4x(2km@6:20 +3min@7:30); 
hlađenje 10min@7:30</v>
      </c>
      <c r="D19" t="str">
        <f>VLOOKUP(D6,Legenda!$A$1:$B$51,2,FALSE)</f>
        <v>5k@6:00 ili odmor</v>
      </c>
      <c r="E19" t="str">
        <f>SUBSTITUTE(SUBSTITUTE(SUBSTITUTE(SUBSTITUTE(SUBSTITUTE(SUBSTITUTE(SUBSTITUTE(SUBSTITUTE(E6,"1.5K",VO2max!B2),"3K",VO2max!C2),"5K",VO2max!D2),"10K",VO2max!E2),"21k",VO2max!F2),"42K",VO2max!G2),"ZA",VO2max!H2),"HL",VO2max!I2)</f>
        <v>zagrevanje 15min@7:30; 
2x(200m@5:40 + 400@6:00 + 4min@7:30) 
hlađenje 10min@7:30</v>
      </c>
      <c r="F19" t="str">
        <f>VLOOKUP(F6,Legenda!$A$1:$B$51,2,FALSE)</f>
        <v>5k@6:00 ili odmor</v>
      </c>
      <c r="G19" t="str">
        <f>SUBSTITUTE(SUBSTITUTE(SUBSTITUTE(SUBSTITUTE(SUBSTITUTE(SUBSTITUTE(SUBSTITUTE(SUBSTITUTE(G6,"1.5K",VO2max!B2),"3K",VO2max!C2),"5K",VO2max!D2),"10K",VO2max!E2),"21K",VO2max!F2),"42K",VO2max!G2),"ZA",VO2max!H2),"HL",VO2max!I2)</f>
        <v>zagrevanje 15min@7:30; 
1x50min@6:40; 
hlađenje 10min@7:30</v>
      </c>
      <c r="H19" t="str">
        <f>VLOOKUP(H6,Legenda!$A$1:$B$51,2,FALSE)</f>
        <v>14k@6:00</v>
      </c>
    </row>
    <row r="20" spans="1:8" x14ac:dyDescent="0.2">
      <c r="A20">
        <v>6</v>
      </c>
      <c r="B20" t="str">
        <f>VLOOKUP(B7,Legenda!$A$1:$B$51,2,FALSE)</f>
        <v>5k@6:00 ili odmor</v>
      </c>
      <c r="C20" t="str">
        <f>SUBSTITUTE(SUBSTITUTE(SUBSTITUTE(SUBSTITUTE(SUBSTITUTE(SUBSTITUTE(SUBSTITUTE(SUBSTITUTE(C7,"1.5K",VO2max!B2),"3K",VO2max!C2),"5K",VO2max!D2),"10K",VO2max!E2),"21k",VO2max!F2),"42K",VO2max!G2),"ZA",VO2max!H2),"HL",VO2max!I2)</f>
        <v>zagrevanje 15min@7:30; 
10x(200m@6:00 + 1min@7:30);
hlađenje 10min@7:30</v>
      </c>
      <c r="D20" t="str">
        <f>VLOOKUP(D7,Legenda!$A$1:$B$51,2,FALSE)</f>
        <v>progresivno aerobno trčanje u 3 jednaka segmenta, od sporijeg ka bržem</v>
      </c>
      <c r="E20" t="str">
        <f>SUBSTITUTE(SUBSTITUTE(SUBSTITUTE(SUBSTITUTE(SUBSTITUTE(SUBSTITUTE(SUBSTITUTE(SUBSTITUTE(E7,"1.5K",VO2max!B2),"3K",VO2max!C2),"5K",VO2max!D2),"10K",VO2max!E2),"21k",VO2max!F2),"42K",VO2max!G2),"ZA",VO2max!H2),"HL",VO2max!I2)</f>
        <v>zagrevanje 15min@7:30; 
4x(8min@6:20 +4min@7:30); 
hlađenje 10min@7:30</v>
      </c>
      <c r="F20" t="str">
        <f>VLOOKUP(F7,Legenda!$A$1:$B$51,2,FALSE)</f>
        <v>5k@6:00 ili odmor</v>
      </c>
      <c r="G20" t="str">
        <f>SUBSTITUTE(SUBSTITUTE(SUBSTITUTE(SUBSTITUTE(SUBSTITUTE(SUBSTITUTE(SUBSTITUTE(SUBSTITUTE(G7,"1.5K",VO2max!B2),"3K",VO2max!C2),"5K",VO2max!D2),"10K",VO2max!E2),"21K",VO2max!F2),"42K",VO2max!G2),"ZA",VO2max!H2),"HL",VO2max!I2)</f>
        <v>zagrevanje 15min@7:30; 
3x(1600m@6:05 +1min@7:30); 
hlađenje 10min@7:30</v>
      </c>
      <c r="H20" t="str">
        <f>VLOOKUP(H7,Legenda!$A$1:$B$51,2,FALSE)</f>
        <v>14k@6:00</v>
      </c>
    </row>
    <row r="21" spans="1:8" x14ac:dyDescent="0.2">
      <c r="A21">
        <v>7</v>
      </c>
      <c r="B21" t="str">
        <f>VLOOKUP(B8,Legenda!$A$1:$B$51,2,FALSE)</f>
        <v>Plivanje, bicikla, šetanje, vežbe snage, ...</v>
      </c>
      <c r="C21" t="str">
        <f>SUBSTITUTE(SUBSTITUTE(SUBSTITUTE(SUBSTITUTE(SUBSTITUTE(SUBSTITUTE(SUBSTITUTE(SUBSTITUTE(C8,"1.5K",VO2max!B2),"3K",VO2max!C2),"5K",VO2max!D2),"10K",VO2max!E2),"21k",VO2max!F2),"42K",VO2max!G2),"ZA",VO2max!H2),"HL",VO2max!I2)</f>
        <v>zagrevanje 15min@7:30; 
7x(1km@6:20 + 1min@7:30);
hlađenje 10min@7:30</v>
      </c>
      <c r="D21" t="str">
        <f>VLOOKUP(D8,Legenda!$A$1:$B$51,2,FALSE)</f>
        <v>5k@6:00 ili odmor</v>
      </c>
      <c r="E21" t="str">
        <f>SUBSTITUTE(SUBSTITUTE(SUBSTITUTE(SUBSTITUTE(SUBSTITUTE(SUBSTITUTE(SUBSTITUTE(SUBSTITUTE(E8,"1.5K",VO2max!B2),"3K",VO2max!C2),"5K",VO2max!D2),"10K",VO2max!E2),"21k",VO2max!F2),"42K",VO2max!G2),"ZA",VO2max!H2),"HL",VO2max!I2)</f>
        <v>zagrevanje 15min@7:30; 
8x(200m@6:00 +1min@7:30); 
hlađenje 10min@7:30</v>
      </c>
      <c r="F21" t="str">
        <f>VLOOKUP(F8,Legenda!$A$1:$B$51,2,FALSE)</f>
        <v>5k@6:00 ili odmor</v>
      </c>
      <c r="G21" t="str">
        <f>SUBSTITUTE(SUBSTITUTE(SUBSTITUTE(SUBSTITUTE(SUBSTITUTE(SUBSTITUTE(SUBSTITUTE(SUBSTITUTE(G8,"1.5K",VO2max!B2),"3K",VO2max!C2),"5K",VO2max!D2),"10K",VO2max!E2),"21K",VO2max!F2),"42K",VO2max!G2),"ZA",VO2max!H2),"HL",VO2max!I2)</f>
        <v>odmor</v>
      </c>
      <c r="H21" t="str">
        <f>VLOOKUP(H8,Legenda!$A$1:$B$51,2,FALSE)</f>
        <v>zagrevanje 10min@ZA; 
10k@10K; 
hlađenje 10min@HL</v>
      </c>
    </row>
    <row r="22" spans="1:8" x14ac:dyDescent="0.2">
      <c r="A22">
        <v>8</v>
      </c>
      <c r="B22" t="str">
        <f>VLOOKUP(B9,Legenda!$A$1:$B$51,2,FALSE)</f>
        <v>5k@6:00 ili odmor</v>
      </c>
      <c r="C22" t="str">
        <f>SUBSTITUTE(SUBSTITUTE(SUBSTITUTE(SUBSTITUTE(SUBSTITUTE(SUBSTITUTE(SUBSTITUTE(SUBSTITUTE(C9,"1.5K",VO2max!B2),"3K",VO2max!C2),"5K",VO2max!D2),"10K",VO2max!E2),"21k",VO2max!F2),"42K",VO2max!G2),"ZA",VO2max!H2),"HL",VO2max!I2)</f>
        <v>zagrevanje 15min@7:30; 
8x(100m@6:00 + 2min@7:30);
hlađenje 10min@7:30</v>
      </c>
      <c r="D22" t="str">
        <f>VLOOKUP(D9,Legenda!$A$1:$B$51,2,FALSE)</f>
        <v>5k@6:00 ili odmor</v>
      </c>
      <c r="E22" t="str">
        <f>SUBSTITUTE(SUBSTITUTE(SUBSTITUTE(SUBSTITUTE(SUBSTITUTE(SUBSTITUTE(SUBSTITUTE(SUBSTITUTE(E9,"1.5K",VO2max!B2),"3K",VO2max!C2),"5K",VO2max!D2),"10K",VO2max!E2),"21k",VO2max!F2),"42K",VO2max!G2),"ZA",VO2max!H2),"HL",VO2max!I2)</f>
        <v>zagrevanje 15min@7:30; 
6x(800m@6:05 +30sec@7:30); 
hlađenje 10min@7:30</v>
      </c>
      <c r="F22" t="str">
        <f>VLOOKUP(F9,Legenda!$A$1:$B$51,2,FALSE)</f>
        <v>5k@6:00 ili odmor</v>
      </c>
      <c r="G22" t="str">
        <f>SUBSTITUTE(SUBSTITUTE(SUBSTITUTE(SUBSTITUTE(SUBSTITUTE(SUBSTITUTE(SUBSTITUTE(SUBSTITUTE(G9,"1.5K",VO2max!B2),"3K",VO2max!C2),"5K",VO2max!D2),"10K",VO2max!E2),"21K",VO2max!F2),"42K",VO2max!G2),"ZA",VO2max!H2),"HL",VO2max!I2)</f>
        <v>zagrevanje 15min@7:30; 
3x(400m@6:05 +800m@6:20+3200m@6:40+4min@7:30); 
hlađenje 10min@7:30</v>
      </c>
      <c r="H22" t="str">
        <f>VLOOKUP(H9,Legenda!$A$1:$B$51,2,FALSE)</f>
        <v>14k@6:00</v>
      </c>
    </row>
    <row r="23" spans="1:8" x14ac:dyDescent="0.2">
      <c r="A23">
        <v>9</v>
      </c>
      <c r="B23" t="str">
        <f>VLOOKUP(B10,Legenda!$A$1:$B$51,2,FALSE)</f>
        <v>Plivanje, bicikla, šetanje, vežbe snage, ...</v>
      </c>
      <c r="C23" t="str">
        <f>SUBSTITUTE(SUBSTITUTE(SUBSTITUTE(SUBSTITUTE(SUBSTITUTE(SUBSTITUTE(SUBSTITUTE(SUBSTITUTE(C10,"1.5K",VO2max!B2),"3K",VO2max!C2),"5K",VO2max!D2),"10K",VO2max!E2),"21k",VO2max!F2),"42K",VO2max!G2),"ZA",VO2max!H2),"HL",VO2max!I2)</f>
        <v>zagrevanje 15min@7:30; 
4x(2k@6:20 + 2min@7:30);
hlađenje 10min@7:30</v>
      </c>
      <c r="D23" t="str">
        <f>VLOOKUP(D10,Legenda!$A$1:$B$51,2,FALSE)</f>
        <v>5k@6:00 ili odmor</v>
      </c>
      <c r="E23" t="str">
        <f>SUBSTITUTE(SUBSTITUTE(SUBSTITUTE(SUBSTITUTE(SUBSTITUTE(SUBSTITUTE(SUBSTITUTE(SUBSTITUTE(E10,"1.5K",VO2max!B2),"3K",VO2max!C2),"5K",VO2max!D2),"10K",VO2max!E2),"21k",VO2max!F2),"42K",VO2max!G2),"ZA",VO2max!H2),"HL",VO2max!I2)</f>
        <v>zagrevanje 15min@7:30; 
5x(3min@6:00 + 3min@7:30); 
hlađenje 10min@7:30</v>
      </c>
      <c r="F23" t="str">
        <f>VLOOKUP(F10,Legenda!$A$1:$B$51,2,FALSE)</f>
        <v>5k@6:00 ili odmor</v>
      </c>
      <c r="G23" t="str">
        <f>SUBSTITUTE(SUBSTITUTE(SUBSTITUTE(SUBSTITUTE(SUBSTITUTE(SUBSTITUTE(SUBSTITUTE(SUBSTITUTE(G10,"1.5K",VO2max!B2),"3K",VO2max!C2),"5K",VO2max!D2),"10K",VO2max!E2),"21K",VO2max!F2),"42K",VO2max!G2),"ZA",VO2max!H2),"HL",VO2max!I2)</f>
        <v>zagrevanje 10min@7:30; 
60min@6:40; 
hlađenje 10min@7:30</v>
      </c>
      <c r="H23" t="str">
        <f>VLOOKUP(H10,Legenda!$A$1:$B$51,2,FALSE)</f>
        <v>14k@6:00</v>
      </c>
    </row>
    <row r="24" spans="1:8" x14ac:dyDescent="0.2">
      <c r="A24">
        <v>10</v>
      </c>
      <c r="B24" t="str">
        <f>VLOOKUP(B11,Legenda!$A$1:$B$51,2,FALSE)</f>
        <v>5k@6:00, 4-6 x 100m ubrzanja na kraju treninga</v>
      </c>
      <c r="C24" t="str">
        <f>SUBSTITUTE(SUBSTITUTE(SUBSTITUTE(SUBSTITUTE(SUBSTITUTE(SUBSTITUTE(SUBSTITUTE(SUBSTITUTE(C11,"1.5K",VO2max!B2),"3K",VO2max!C2),"5K",VO2max!D2),"10K",VO2max!E2),"21k",VO2max!F2),"42K",VO2max!G2),"ZA",VO2max!H2),"HL",VO2max!I2)</f>
        <v>zagrevanje 15min@7:30; 
12x(200m@6:00 + 1min@7:30);
hlađenje 10min@7:30</v>
      </c>
      <c r="D24" t="str">
        <f>VLOOKUP(D11,Legenda!$A$1:$B$51,2,FALSE)</f>
        <v>progresivno aerobno trčanje u 3 jednaka segmenta, od sporijeg ka bržem</v>
      </c>
      <c r="E24" t="str">
        <f>SUBSTITUTE(SUBSTITUTE(SUBSTITUTE(SUBSTITUTE(SUBSTITUTE(SUBSTITUTE(SUBSTITUTE(SUBSTITUTE(E11,"1.5K",VO2max!B2),"3K",VO2max!C2),"5K",VO2max!D2),"10K",VO2max!E2),"21k",VO2max!F2),"42K",VO2max!G2),"ZA",VO2max!H2),"HL",VO2max!I2)</f>
        <v>zagrevanje 15min@7:30; 
7x(1k@6:20 + 2min@7:30); 
hlađenje 10min@7:30</v>
      </c>
      <c r="F24" t="str">
        <f>VLOOKUP(F11,Legenda!$A$1:$B$51,2,FALSE)</f>
        <v>5k@6:00 ili odmor</v>
      </c>
      <c r="G24" t="str">
        <f>SUBSTITUTE(SUBSTITUTE(SUBSTITUTE(SUBSTITUTE(SUBSTITUTE(SUBSTITUTE(SUBSTITUTE(SUBSTITUTE(G11,"1.5K",VO2max!B2),"3K",VO2max!C2),"5K",VO2max!D2),"10K",VO2max!E2),"21K",VO2max!F2),"42K",VO2max!G2),"ZA",VO2max!H2),"HL",VO2max!I2)</f>
        <v>zagrevanje 10min@7:30; 
30min@6:40; 
hlađenje 10min@7:30</v>
      </c>
      <c r="H24" t="str">
        <f>VLOOKUP(H11,Legenda!$A$1:$B$51,2,FALSE)</f>
        <v>14k@6:00</v>
      </c>
    </row>
    <row r="25" spans="1:8" x14ac:dyDescent="0.2">
      <c r="A25">
        <v>11</v>
      </c>
      <c r="B25" t="str">
        <f>VLOOKUP(B12,Legenda!$A$1:$B$51,2,FALSE)</f>
        <v>5k@6:00 ili odmor</v>
      </c>
      <c r="C25" t="str">
        <f>SUBSTITUTE(SUBSTITUTE(SUBSTITUTE(SUBSTITUTE(SUBSTITUTE(SUBSTITUTE(SUBSTITUTE(SUBSTITUTE(C12,"1.5K",VO2max!B2),"3K",VO2max!C2),"5K",VO2max!D2),"10K",VO2max!E2),"21k",VO2max!F2),"42K",VO2max!G2),"ZA",VO2max!H2),"HL",VO2max!I2)</f>
        <v>zagrevanje 15min@7:30; 
7x(1k@6:20 + 1min@7:30);
hlađenje 10min@7:30</v>
      </c>
      <c r="D25" t="str">
        <f>VLOOKUP(D12,Legenda!$A$1:$B$51,2,FALSE)</f>
        <v>5k@6:00 ili odmor</v>
      </c>
      <c r="E25" t="str">
        <f>SUBSTITUTE(SUBSTITUTE(SUBSTITUTE(SUBSTITUTE(SUBSTITUTE(SUBSTITUTE(SUBSTITUTE(SUBSTITUTE(E12,"1.5K",VO2max!B2),"3K",VO2max!C2),"5K",VO2max!D2),"10K",VO2max!E2),"21k",VO2max!F2),"42K",VO2max!G2),"ZA",VO2max!H2),"HL",VO2max!I2)</f>
        <v>zagrevanje 15min@7:30; 
5x(3min@6:00 + 3min@7:30); 
hlađenje 10min@7:30</v>
      </c>
      <c r="F25" t="str">
        <f>VLOOKUP(F12,Legenda!$A$1:$B$51,2,FALSE)</f>
        <v>5k@6:00 ili odmor</v>
      </c>
      <c r="G25" t="str">
        <f>SUBSTITUTE(SUBSTITUTE(SUBSTITUTE(SUBSTITUTE(SUBSTITUTE(SUBSTITUTE(SUBSTITUTE(SUBSTITUTE(G12,"1.5K",VO2max!B2),"3K",VO2max!C2),"5K",VO2max!D2),"10K",VO2max!E2),"21K",VO2max!F2),"42K",VO2max!G2),"ZA",VO2max!H2),"HL",VO2max!I2)</f>
        <v>odmor</v>
      </c>
      <c r="H25" t="str">
        <f>VLOOKUP(H12,Legenda!$A$1:$B$51,2,FALSE)</f>
        <v>zagrevanje 10min@ZA; 
5k@5K; 
hlađenje 10min@HL</v>
      </c>
    </row>
    <row r="26" spans="1:8" x14ac:dyDescent="0.2">
      <c r="A26">
        <v>12</v>
      </c>
      <c r="B26" t="str">
        <f>VLOOKUP(B13,Legenda!$A$1:$B$51,2,FALSE)</f>
        <v>5k@6:00 ili odmor</v>
      </c>
      <c r="C26" t="str">
        <f>SUBSTITUTE(SUBSTITUTE(SUBSTITUTE(SUBSTITUTE(SUBSTITUTE(SUBSTITUTE(SUBSTITUTE(SUBSTITUTE(C13,"1.5K",VO2max!B3),"3K",VO2max!C3),"5K",VO2max!D3),"10K",VO2max!E3),"21k",VO2max!F3),"42K",VO2max!G3),"ZA",VO2max!H3),"HL",VO2max!I3)</f>
        <v>zagrevanje 10min@; 
20min@21K; 
hlađenje 10min@</v>
      </c>
      <c r="D26" t="str">
        <f>VLOOKUP(D13,Legenda!$A$1:$B$51,2,FALSE)</f>
        <v>Plivanje, bicikla, šetanje, vežbe snage, ...</v>
      </c>
      <c r="E26" t="str">
        <f>SUBSTITUTE(SUBSTITUTE(SUBSTITUTE(SUBSTITUTE(SUBSTITUTE(SUBSTITUTE(SUBSTITUTE(SUBSTITUTE(E13,"1.5K",VO2max!B3),"3K",VO2max!C3),"5K",VO2max!D3),"10K",VO2max!E3),"21k",VO2max!F3),"42K",VO2max!G3),"ZA",VO2max!H3),"HL",VO2max!I3)</f>
        <v>zagrevanje 15min@; 
3x(1.5min@ + 1.5min@); 
hlađenje 10min@</v>
      </c>
      <c r="F26" t="str">
        <f>VLOOKUP(F13,Legenda!$A$1:$B$51,2,FALSE)</f>
        <v>odmor</v>
      </c>
      <c r="G26" t="str">
        <f>SUBSTITUTE(SUBSTITUTE(SUBSTITUTE(SUBSTITUTE(SUBSTITUTE(SUBSTITUTE(SUBSTITUTE(SUBSTITUTE(G13,"1.5K",VO2max!B3),"3K",VO2max!C3),"5K",VO2max!D3),"10K",VO2max!E3),"21K",VO2max!F3),"42K",VO2max!G3),"ZA",VO2max!H3),"HL",VO2max!I3)</f>
        <v>3k@; 
3x100m ubrzanja
Ubrzanja se trče po ravnoj stazi i sa snagom od 85%.
U pauzi se ili hoda ili lagano trči i ne počinje se ponovo dok se potpuno ne odmori.</v>
      </c>
      <c r="H26" t="str">
        <f>VLOOKUP(H13,Legenda!$A$1:$B$51,2,FALSE)</f>
        <v>Obavezno uraditi zagrevanje laganim trčanjem  na samom startu barem 1km 
Trka: 21.1km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82EF4-3804-496A-82F1-8B1BF3286B36}">
  <dimension ref="A1:I96"/>
  <sheetViews>
    <sheetView topLeftCell="A26" workbookViewId="0">
      <selection activeCell="I26" sqref="I26:I32"/>
    </sheetView>
  </sheetViews>
  <sheetFormatPr defaultRowHeight="15" x14ac:dyDescent="0.2"/>
  <cols>
    <col min="1" max="1" width="9.14453125" style="5"/>
    <col min="2" max="2" width="16.0078125" customWidth="1"/>
    <col min="3" max="3" width="86.765625" customWidth="1"/>
    <col min="8" max="8" width="17.62109375" customWidth="1"/>
    <col min="9" max="9" width="89.58984375" customWidth="1"/>
    <col min="10" max="10" width="76.2734375" customWidth="1"/>
    <col min="12" max="12" width="27.3046875" customWidth="1"/>
  </cols>
  <sheetData>
    <row r="1" spans="1:9" x14ac:dyDescent="0.2">
      <c r="A1" s="12" t="s">
        <v>0</v>
      </c>
      <c r="B1" s="12" t="s">
        <v>75</v>
      </c>
      <c r="C1" s="12" t="s">
        <v>82</v>
      </c>
      <c r="G1" s="12" t="s">
        <v>0</v>
      </c>
      <c r="H1" s="12" t="s">
        <v>75</v>
      </c>
      <c r="I1" s="12" t="s">
        <v>82</v>
      </c>
    </row>
    <row r="2" spans="1:9" x14ac:dyDescent="0.2">
      <c r="A2" s="5">
        <v>1</v>
      </c>
      <c r="B2" t="s">
        <v>76</v>
      </c>
      <c r="C2" t="str">
        <f>'21kB'!B15</f>
        <v>Plivanje, bicikla, šetanje, vežbe snage, ...</v>
      </c>
      <c r="G2" s="5">
        <v>1</v>
      </c>
      <c r="H2" t="s">
        <v>76</v>
      </c>
      <c r="I2" t="s">
        <v>49</v>
      </c>
    </row>
    <row r="3" spans="1:9" x14ac:dyDescent="0.2">
      <c r="B3" t="s">
        <v>77</v>
      </c>
      <c r="C3" t="str">
        <f>'21kB'!C15</f>
        <v>zagrevanje 15min@7:30; 
2x(10min@6:20 +4min@7:30); 
hlađenje 10min@7:30</v>
      </c>
      <c r="H3" t="s">
        <v>77</v>
      </c>
      <c r="I3" t="s">
        <v>165</v>
      </c>
    </row>
    <row r="4" spans="1:9" x14ac:dyDescent="0.2">
      <c r="B4" t="s">
        <v>78</v>
      </c>
      <c r="C4" t="str">
        <f>'21kB'!D15</f>
        <v>5k@6:00 ili odmor</v>
      </c>
      <c r="H4" t="s">
        <v>78</v>
      </c>
      <c r="I4" t="s">
        <v>107</v>
      </c>
    </row>
    <row r="5" spans="1:9" x14ac:dyDescent="0.2">
      <c r="B5" t="s">
        <v>79</v>
      </c>
      <c r="C5" t="str">
        <f>'21kB'!E15</f>
        <v>zagrevanje 15min@7:30; 
8x(400m@6:05 +1min@7:30); 
hlađenje 10min@7:30</v>
      </c>
      <c r="H5" t="s">
        <v>79</v>
      </c>
      <c r="I5" t="s">
        <v>166</v>
      </c>
    </row>
    <row r="6" spans="1:9" x14ac:dyDescent="0.2">
      <c r="B6" t="s">
        <v>80</v>
      </c>
      <c r="C6" t="str">
        <f>'21kB'!F15</f>
        <v>5k@6:00 ili odmor</v>
      </c>
      <c r="H6" t="s">
        <v>80</v>
      </c>
      <c r="I6" t="s">
        <v>107</v>
      </c>
    </row>
    <row r="7" spans="1:9" x14ac:dyDescent="0.2">
      <c r="B7" t="s">
        <v>81</v>
      </c>
      <c r="C7" t="str">
        <f>'21kB'!G15</f>
        <v>zagrevanje 15min@7:30; 
1x30min@6:40; 
hlađenje 10min@7:30</v>
      </c>
      <c r="H7" t="s">
        <v>81</v>
      </c>
      <c r="I7" t="s">
        <v>167</v>
      </c>
    </row>
    <row r="8" spans="1:9" x14ac:dyDescent="0.2">
      <c r="B8" t="s">
        <v>0</v>
      </c>
      <c r="C8" t="str">
        <f>'21kB'!H15</f>
        <v>14k@6:00</v>
      </c>
      <c r="H8" t="s">
        <v>0</v>
      </c>
      <c r="I8" t="s">
        <v>108</v>
      </c>
    </row>
    <row r="9" spans="1:9" x14ac:dyDescent="0.2">
      <c r="A9" s="12" t="s">
        <v>0</v>
      </c>
      <c r="B9" s="12" t="s">
        <v>75</v>
      </c>
      <c r="C9" s="12" t="s">
        <v>82</v>
      </c>
      <c r="G9" s="12" t="s">
        <v>0</v>
      </c>
      <c r="H9" s="12" t="s">
        <v>75</v>
      </c>
      <c r="I9" s="12" t="s">
        <v>82</v>
      </c>
    </row>
    <row r="10" spans="1:9" x14ac:dyDescent="0.2">
      <c r="A10" s="5">
        <v>2</v>
      </c>
      <c r="B10" t="s">
        <v>76</v>
      </c>
      <c r="C10" t="str">
        <f>'21kB'!B16</f>
        <v>5k@6:00 ili odmor</v>
      </c>
      <c r="G10" s="5">
        <v>2</v>
      </c>
      <c r="H10" t="s">
        <v>76</v>
      </c>
      <c r="I10" t="s">
        <v>107</v>
      </c>
    </row>
    <row r="11" spans="1:9" x14ac:dyDescent="0.2">
      <c r="B11" t="s">
        <v>77</v>
      </c>
      <c r="C11" t="str">
        <f>'21kB'!C16</f>
        <v>zagrevanje 15min@7:30; 
16x(100m@6:00 + 1min@7:30);
hlađenje 10min@7:30</v>
      </c>
      <c r="H11" t="s">
        <v>77</v>
      </c>
      <c r="I11" t="s">
        <v>168</v>
      </c>
    </row>
    <row r="12" spans="1:9" x14ac:dyDescent="0.2">
      <c r="B12" t="s">
        <v>78</v>
      </c>
      <c r="C12" t="str">
        <f>'21kB'!D16</f>
        <v>5k@6:00 ili odmor</v>
      </c>
      <c r="H12" t="s">
        <v>78</v>
      </c>
      <c r="I12" t="s">
        <v>107</v>
      </c>
    </row>
    <row r="13" spans="1:9" x14ac:dyDescent="0.2">
      <c r="B13" t="s">
        <v>79</v>
      </c>
      <c r="C13" t="str">
        <f>'21kB'!E16</f>
        <v>zagrevanje 15min@7:30; 
6x(800m@6:05 +30sec@7:30); 
hlađenje 10min@7:30</v>
      </c>
      <c r="H13" t="s">
        <v>79</v>
      </c>
      <c r="I13" t="s">
        <v>169</v>
      </c>
    </row>
    <row r="14" spans="1:9" x14ac:dyDescent="0.2">
      <c r="B14" t="s">
        <v>80</v>
      </c>
      <c r="C14" t="str">
        <f>'21kB'!F16</f>
        <v>5k@6:00 ili odmor</v>
      </c>
      <c r="H14" t="s">
        <v>80</v>
      </c>
      <c r="I14" t="s">
        <v>107</v>
      </c>
    </row>
    <row r="15" spans="1:9" x14ac:dyDescent="0.2">
      <c r="B15" t="s">
        <v>81</v>
      </c>
      <c r="C15" t="str">
        <f>'21kB'!G16</f>
        <v>zagrevanje 15min@7:30; 
2x(3km@6:20+4min@7:30); 
hlađenje 10min@7:30</v>
      </c>
      <c r="H15" t="s">
        <v>81</v>
      </c>
      <c r="I15" t="s">
        <v>170</v>
      </c>
    </row>
    <row r="16" spans="1:9" x14ac:dyDescent="0.2">
      <c r="B16" t="s">
        <v>0</v>
      </c>
      <c r="C16" t="str">
        <f>'21kB'!H16</f>
        <v>14k@6:00</v>
      </c>
      <c r="H16" t="s">
        <v>0</v>
      </c>
      <c r="I16" t="s">
        <v>108</v>
      </c>
    </row>
    <row r="17" spans="1:9" x14ac:dyDescent="0.2">
      <c r="A17" s="12" t="s">
        <v>0</v>
      </c>
      <c r="B17" s="12" t="s">
        <v>75</v>
      </c>
      <c r="C17" s="12" t="s">
        <v>82</v>
      </c>
      <c r="G17" s="12" t="s">
        <v>0</v>
      </c>
      <c r="H17" s="12" t="s">
        <v>75</v>
      </c>
      <c r="I17" s="12" t="s">
        <v>82</v>
      </c>
    </row>
    <row r="18" spans="1:9" x14ac:dyDescent="0.2">
      <c r="A18" s="5">
        <v>3</v>
      </c>
      <c r="B18" t="s">
        <v>76</v>
      </c>
      <c r="C18" t="str">
        <f>'21kB'!B17</f>
        <v>Plivanje, bicikla, šetanje, vežbe snage, ...</v>
      </c>
      <c r="G18" s="5">
        <v>3</v>
      </c>
      <c r="H18" t="s">
        <v>76</v>
      </c>
      <c r="I18" t="s">
        <v>49</v>
      </c>
    </row>
    <row r="19" spans="1:9" x14ac:dyDescent="0.2">
      <c r="B19" t="s">
        <v>77</v>
      </c>
      <c r="C19" t="str">
        <f>'21kB'!C17</f>
        <v>zagrevanje 15min@7:30; 
3x(10min@6:20 +4min@7:30); 
hlađenje 10min@7:30</v>
      </c>
      <c r="H19" t="s">
        <v>77</v>
      </c>
      <c r="I19" t="s">
        <v>171</v>
      </c>
    </row>
    <row r="20" spans="1:9" x14ac:dyDescent="0.2">
      <c r="B20" t="s">
        <v>78</v>
      </c>
      <c r="C20" t="str">
        <f>'21kB'!D17</f>
        <v>5k@6:00 ili odmor</v>
      </c>
      <c r="H20" t="s">
        <v>78</v>
      </c>
      <c r="I20" t="s">
        <v>107</v>
      </c>
    </row>
    <row r="21" spans="1:9" x14ac:dyDescent="0.2">
      <c r="B21" t="s">
        <v>79</v>
      </c>
      <c r="C21" t="str">
        <f>'21kB'!E17</f>
        <v>zagrevanje 15min@7:30; 
2x(800m@6:20 + 600m@6:05 + 4min@7:30)
hlađenje 10min@7:30</v>
      </c>
      <c r="H21" t="s">
        <v>79</v>
      </c>
      <c r="I21" t="s">
        <v>172</v>
      </c>
    </row>
    <row r="22" spans="1:9" x14ac:dyDescent="0.2">
      <c r="B22" t="s">
        <v>80</v>
      </c>
      <c r="C22" t="str">
        <f>'21kB'!F17</f>
        <v>5k@6:00 ili odmor</v>
      </c>
      <c r="H22" t="s">
        <v>80</v>
      </c>
      <c r="I22" t="s">
        <v>107</v>
      </c>
    </row>
    <row r="23" spans="1:9" x14ac:dyDescent="0.2">
      <c r="B23" t="s">
        <v>81</v>
      </c>
      <c r="C23" t="str">
        <f>'21kB'!G17</f>
        <v>zagrevanje 15min@7:30; 
1x40min@6:40; 
hlađenje 10min@7:30</v>
      </c>
      <c r="H23" t="s">
        <v>81</v>
      </c>
      <c r="I23" t="s">
        <v>173</v>
      </c>
    </row>
    <row r="24" spans="1:9" x14ac:dyDescent="0.2">
      <c r="B24" t="s">
        <v>0</v>
      </c>
      <c r="C24" t="str">
        <f>'21kB'!H17</f>
        <v>14k@6:00</v>
      </c>
      <c r="H24" t="s">
        <v>0</v>
      </c>
      <c r="I24" t="s">
        <v>108</v>
      </c>
    </row>
    <row r="25" spans="1:9" x14ac:dyDescent="0.2">
      <c r="A25" s="12" t="s">
        <v>0</v>
      </c>
      <c r="B25" s="12" t="s">
        <v>75</v>
      </c>
      <c r="C25" s="12" t="s">
        <v>82</v>
      </c>
      <c r="G25" s="12" t="s">
        <v>0</v>
      </c>
      <c r="H25" s="12" t="s">
        <v>75</v>
      </c>
      <c r="I25" s="12" t="s">
        <v>82</v>
      </c>
    </row>
    <row r="26" spans="1:9" x14ac:dyDescent="0.2">
      <c r="A26" s="5">
        <v>4</v>
      </c>
      <c r="B26" t="s">
        <v>76</v>
      </c>
      <c r="C26" t="str">
        <f>'21kB'!B18</f>
        <v>5k@6:00 ili odmor</v>
      </c>
      <c r="G26" s="5">
        <v>4</v>
      </c>
      <c r="H26" t="s">
        <v>76</v>
      </c>
      <c r="I26" t="s">
        <v>107</v>
      </c>
    </row>
    <row r="27" spans="1:9" x14ac:dyDescent="0.2">
      <c r="B27" t="s">
        <v>77</v>
      </c>
      <c r="C27" t="str">
        <f>'21kB'!C18</f>
        <v>zagrevanje 15min@7:30; 
10x(200m@6:05 + 2min@7:30);
hlađenje 10min@7:30</v>
      </c>
      <c r="H27" t="s">
        <v>77</v>
      </c>
      <c r="I27" t="s">
        <v>116</v>
      </c>
    </row>
    <row r="28" spans="1:9" x14ac:dyDescent="0.2">
      <c r="B28" t="s">
        <v>78</v>
      </c>
      <c r="C28" t="str">
        <f>'21kB'!D18</f>
        <v>5k@6:00 ili odmor</v>
      </c>
      <c r="H28" t="s">
        <v>78</v>
      </c>
      <c r="I28" t="s">
        <v>107</v>
      </c>
    </row>
    <row r="29" spans="1:9" x14ac:dyDescent="0.2">
      <c r="B29" t="s">
        <v>79</v>
      </c>
      <c r="C29" t="str">
        <f>'21kB'!E18</f>
        <v>zagrevanje 15min@7:30; 
12x(400m@6:05 +15sec@7:30); 
hlađenje 10min@7:30</v>
      </c>
      <c r="H29" t="s">
        <v>79</v>
      </c>
      <c r="I29" t="s">
        <v>117</v>
      </c>
    </row>
    <row r="30" spans="1:9" x14ac:dyDescent="0.2">
      <c r="B30" t="s">
        <v>80</v>
      </c>
      <c r="C30" t="str">
        <f>'21kB'!F18</f>
        <v>5k@6:00 ili odmor</v>
      </c>
      <c r="H30" t="s">
        <v>80</v>
      </c>
      <c r="I30" t="s">
        <v>107</v>
      </c>
    </row>
    <row r="31" spans="1:9" x14ac:dyDescent="0.2">
      <c r="B31" t="s">
        <v>81</v>
      </c>
      <c r="C31" t="str">
        <f>'21kB'!G18</f>
        <v>zagrevanje 15min@7:30; 
2x(400m@6:05 +800m@6:20+3200m@6:40 + 4min@7:30)
hlađenje 10min@7:30</v>
      </c>
      <c r="H31" t="s">
        <v>81</v>
      </c>
      <c r="I31" t="s">
        <v>118</v>
      </c>
    </row>
    <row r="32" spans="1:9" x14ac:dyDescent="0.2">
      <c r="B32" t="s">
        <v>0</v>
      </c>
      <c r="C32" t="str">
        <f>'21kB'!H18</f>
        <v>14k@6:00</v>
      </c>
      <c r="H32" t="s">
        <v>0</v>
      </c>
      <c r="I32" t="s">
        <v>108</v>
      </c>
    </row>
    <row r="33" spans="1:9" x14ac:dyDescent="0.2">
      <c r="A33" s="12" t="s">
        <v>0</v>
      </c>
      <c r="B33" s="12" t="s">
        <v>75</v>
      </c>
      <c r="C33" s="12" t="s">
        <v>82</v>
      </c>
      <c r="G33" s="12" t="s">
        <v>0</v>
      </c>
      <c r="H33" s="12" t="s">
        <v>75</v>
      </c>
      <c r="I33" s="12" t="s">
        <v>82</v>
      </c>
    </row>
    <row r="34" spans="1:9" x14ac:dyDescent="0.2">
      <c r="A34" s="5">
        <v>5</v>
      </c>
      <c r="B34" t="s">
        <v>76</v>
      </c>
      <c r="C34" t="str">
        <f>'21kB'!B19</f>
        <v>Plivanje, bicikla, šetanje, vežbe snage, ...</v>
      </c>
      <c r="G34" s="5">
        <v>5</v>
      </c>
      <c r="H34" t="s">
        <v>76</v>
      </c>
      <c r="I34" t="s">
        <v>49</v>
      </c>
    </row>
    <row r="35" spans="1:9" x14ac:dyDescent="0.2">
      <c r="B35" t="s">
        <v>77</v>
      </c>
      <c r="C35" t="str">
        <f>'21kB'!C19</f>
        <v>zagrevanje 15min@7:30; 
4x(2km@6:20 +3min@7:30); 
hlađenje 10min@7:30</v>
      </c>
      <c r="H35" t="s">
        <v>77</v>
      </c>
      <c r="I35" t="s">
        <v>119</v>
      </c>
    </row>
    <row r="36" spans="1:9" x14ac:dyDescent="0.2">
      <c r="B36" t="s">
        <v>78</v>
      </c>
      <c r="C36" t="str">
        <f>'21kB'!D19</f>
        <v>5k@6:00 ili odmor</v>
      </c>
      <c r="H36" t="s">
        <v>78</v>
      </c>
      <c r="I36" t="s">
        <v>107</v>
      </c>
    </row>
    <row r="37" spans="1:9" x14ac:dyDescent="0.2">
      <c r="B37" t="s">
        <v>79</v>
      </c>
      <c r="C37" t="str">
        <f>'21kB'!E19</f>
        <v>zagrevanje 15min@7:30; 
2x(200m@5:40 + 400@6:00 + 4min@7:30) 
hlađenje 10min@7:30</v>
      </c>
      <c r="H37" t="s">
        <v>79</v>
      </c>
      <c r="I37" t="s">
        <v>120</v>
      </c>
    </row>
    <row r="38" spans="1:9" x14ac:dyDescent="0.2">
      <c r="B38" t="s">
        <v>80</v>
      </c>
      <c r="C38" t="str">
        <f>'21kB'!F19</f>
        <v>5k@6:00 ili odmor</v>
      </c>
      <c r="H38" t="s">
        <v>80</v>
      </c>
      <c r="I38" t="s">
        <v>107</v>
      </c>
    </row>
    <row r="39" spans="1:9" x14ac:dyDescent="0.2">
      <c r="B39" t="s">
        <v>81</v>
      </c>
      <c r="C39" t="str">
        <f>'21kB'!G19</f>
        <v>zagrevanje 15min@7:30; 
1x50min@6:40; 
hlađenje 10min@7:30</v>
      </c>
      <c r="H39" t="s">
        <v>81</v>
      </c>
      <c r="I39" t="s">
        <v>121</v>
      </c>
    </row>
    <row r="40" spans="1:9" x14ac:dyDescent="0.2">
      <c r="B40" t="s">
        <v>0</v>
      </c>
      <c r="C40" t="str">
        <f>'21kB'!H19</f>
        <v>14k@6:00</v>
      </c>
      <c r="H40" t="s">
        <v>0</v>
      </c>
      <c r="I40" t="s">
        <v>108</v>
      </c>
    </row>
    <row r="41" spans="1:9" x14ac:dyDescent="0.2">
      <c r="A41" s="12" t="s">
        <v>0</v>
      </c>
      <c r="B41" s="12" t="s">
        <v>75</v>
      </c>
      <c r="C41" s="12" t="s">
        <v>82</v>
      </c>
      <c r="G41" s="12" t="s">
        <v>0</v>
      </c>
      <c r="H41" s="12" t="s">
        <v>75</v>
      </c>
      <c r="I41" s="12" t="s">
        <v>82</v>
      </c>
    </row>
    <row r="42" spans="1:9" x14ac:dyDescent="0.2">
      <c r="A42" s="5">
        <v>6</v>
      </c>
      <c r="B42" t="s">
        <v>76</v>
      </c>
      <c r="C42" t="str">
        <f>'21kB'!B20</f>
        <v>5k@6:00 ili odmor</v>
      </c>
      <c r="G42" s="5">
        <v>6</v>
      </c>
      <c r="H42" t="s">
        <v>76</v>
      </c>
      <c r="I42" t="s">
        <v>107</v>
      </c>
    </row>
    <row r="43" spans="1:9" x14ac:dyDescent="0.2">
      <c r="B43" t="s">
        <v>77</v>
      </c>
      <c r="C43" t="str">
        <f>'21kB'!C20</f>
        <v>zagrevanje 15min@7:30; 
10x(200m@6:00 + 1min@7:30);
hlađenje 10min@7:30</v>
      </c>
      <c r="H43" t="s">
        <v>77</v>
      </c>
      <c r="I43" t="s">
        <v>122</v>
      </c>
    </row>
    <row r="44" spans="1:9" x14ac:dyDescent="0.2">
      <c r="B44" t="s">
        <v>78</v>
      </c>
      <c r="C44" t="str">
        <f>'21kB'!D20</f>
        <v>progresivno aerobno trčanje u 3 jednaka segmenta, od sporijeg ka bržem</v>
      </c>
      <c r="H44" t="s">
        <v>78</v>
      </c>
      <c r="I44" t="s">
        <v>53</v>
      </c>
    </row>
    <row r="45" spans="1:9" x14ac:dyDescent="0.2">
      <c r="B45" t="s">
        <v>79</v>
      </c>
      <c r="C45" t="str">
        <f>'21kB'!E20</f>
        <v>zagrevanje 15min@7:30; 
4x(8min@6:20 +4min@7:30); 
hlađenje 10min@7:30</v>
      </c>
      <c r="H45" t="s">
        <v>79</v>
      </c>
      <c r="I45" t="s">
        <v>123</v>
      </c>
    </row>
    <row r="46" spans="1:9" x14ac:dyDescent="0.2">
      <c r="B46" t="s">
        <v>80</v>
      </c>
      <c r="C46" t="str">
        <f>'21kB'!F20</f>
        <v>5k@6:00 ili odmor</v>
      </c>
      <c r="H46" t="s">
        <v>80</v>
      </c>
      <c r="I46" t="s">
        <v>107</v>
      </c>
    </row>
    <row r="47" spans="1:9" x14ac:dyDescent="0.2">
      <c r="B47" t="s">
        <v>81</v>
      </c>
      <c r="C47" t="str">
        <f>'21kB'!G20</f>
        <v>zagrevanje 15min@7:30; 
3x(1600m@6:05 +1min@7:30); 
hlađenje 10min@7:30</v>
      </c>
      <c r="H47" t="s">
        <v>81</v>
      </c>
      <c r="I47" t="s">
        <v>124</v>
      </c>
    </row>
    <row r="48" spans="1:9" x14ac:dyDescent="0.2">
      <c r="B48" t="s">
        <v>0</v>
      </c>
      <c r="C48" t="str">
        <f>'21kB'!H20</f>
        <v>14k@6:00</v>
      </c>
      <c r="H48" t="s">
        <v>0</v>
      </c>
      <c r="I48" t="s">
        <v>108</v>
      </c>
    </row>
    <row r="49" spans="1:9" x14ac:dyDescent="0.2">
      <c r="A49" s="12" t="s">
        <v>0</v>
      </c>
      <c r="B49" s="12" t="s">
        <v>75</v>
      </c>
      <c r="C49" s="12" t="s">
        <v>82</v>
      </c>
      <c r="G49" s="12" t="s">
        <v>0</v>
      </c>
      <c r="H49" s="12" t="s">
        <v>75</v>
      </c>
      <c r="I49" s="12" t="s">
        <v>82</v>
      </c>
    </row>
    <row r="50" spans="1:9" x14ac:dyDescent="0.2">
      <c r="A50" s="5">
        <v>7</v>
      </c>
      <c r="B50" t="s">
        <v>76</v>
      </c>
      <c r="C50" t="str">
        <f>'21kB'!B21</f>
        <v>Plivanje, bicikla, šetanje, vežbe snage, ...</v>
      </c>
      <c r="G50" s="5">
        <v>7</v>
      </c>
      <c r="H50" t="s">
        <v>76</v>
      </c>
      <c r="I50" t="s">
        <v>49</v>
      </c>
    </row>
    <row r="51" spans="1:9" x14ac:dyDescent="0.2">
      <c r="B51" t="s">
        <v>77</v>
      </c>
      <c r="C51" t="str">
        <f>'21kB'!C21</f>
        <v>zagrevanje 15min@7:30; 
7x(1km@6:20 + 1min@7:30);
hlađenje 10min@7:30</v>
      </c>
      <c r="H51" t="s">
        <v>77</v>
      </c>
      <c r="I51" t="s">
        <v>125</v>
      </c>
    </row>
    <row r="52" spans="1:9" x14ac:dyDescent="0.2">
      <c r="B52" t="s">
        <v>78</v>
      </c>
      <c r="C52" t="str">
        <f>'21kB'!D21</f>
        <v>5k@6:00 ili odmor</v>
      </c>
      <c r="H52" t="s">
        <v>78</v>
      </c>
      <c r="I52" t="s">
        <v>107</v>
      </c>
    </row>
    <row r="53" spans="1:9" x14ac:dyDescent="0.2">
      <c r="B53" t="s">
        <v>79</v>
      </c>
      <c r="C53" t="str">
        <f>'21kB'!E21</f>
        <v>zagrevanje 15min@7:30; 
8x(200m@6:00 +1min@7:30); 
hlađenje 10min@7:30</v>
      </c>
      <c r="H53" t="s">
        <v>79</v>
      </c>
      <c r="I53" t="s">
        <v>126</v>
      </c>
    </row>
    <row r="54" spans="1:9" x14ac:dyDescent="0.2">
      <c r="B54" t="s">
        <v>80</v>
      </c>
      <c r="C54" t="str">
        <f>'21kB'!F21</f>
        <v>5k@6:00 ili odmor</v>
      </c>
      <c r="H54" t="s">
        <v>80</v>
      </c>
      <c r="I54" t="s">
        <v>107</v>
      </c>
    </row>
    <row r="55" spans="1:9" x14ac:dyDescent="0.2">
      <c r="B55" t="s">
        <v>81</v>
      </c>
      <c r="C55" t="str">
        <f>'21kB'!G21</f>
        <v>odmor</v>
      </c>
      <c r="H55" t="s">
        <v>81</v>
      </c>
      <c r="I55" t="s">
        <v>88</v>
      </c>
    </row>
    <row r="56" spans="1:9" x14ac:dyDescent="0.2">
      <c r="B56" t="s">
        <v>0</v>
      </c>
      <c r="C56" t="str">
        <f>'21kB'!H21</f>
        <v>zagrevanje 10min@ZA; 
10k@10K; 
hlađenje 10min@HL</v>
      </c>
      <c r="H56" t="s">
        <v>0</v>
      </c>
      <c r="I56" t="s">
        <v>89</v>
      </c>
    </row>
    <row r="57" spans="1:9" x14ac:dyDescent="0.2">
      <c r="A57" s="12" t="s">
        <v>0</v>
      </c>
      <c r="B57" s="12" t="s">
        <v>75</v>
      </c>
      <c r="C57" s="12" t="s">
        <v>82</v>
      </c>
      <c r="G57" s="12" t="s">
        <v>0</v>
      </c>
      <c r="H57" s="12" t="s">
        <v>75</v>
      </c>
      <c r="I57" s="12" t="s">
        <v>82</v>
      </c>
    </row>
    <row r="58" spans="1:9" x14ac:dyDescent="0.2">
      <c r="A58" s="5">
        <v>8</v>
      </c>
      <c r="B58" t="s">
        <v>76</v>
      </c>
      <c r="C58" t="str">
        <f>'21kB'!B22</f>
        <v>5k@6:00 ili odmor</v>
      </c>
      <c r="G58" s="5">
        <v>8</v>
      </c>
      <c r="H58" t="s">
        <v>76</v>
      </c>
      <c r="I58" t="s">
        <v>107</v>
      </c>
    </row>
    <row r="59" spans="1:9" x14ac:dyDescent="0.2">
      <c r="B59" t="s">
        <v>77</v>
      </c>
      <c r="C59" t="str">
        <f>'21kB'!C22</f>
        <v>zagrevanje 15min@7:30; 
8x(100m@6:00 + 2min@7:30);
hlađenje 10min@7:30</v>
      </c>
      <c r="H59" t="s">
        <v>77</v>
      </c>
      <c r="I59" t="s">
        <v>127</v>
      </c>
    </row>
    <row r="60" spans="1:9" x14ac:dyDescent="0.2">
      <c r="B60" t="s">
        <v>78</v>
      </c>
      <c r="C60" t="str">
        <f>'21kB'!D22</f>
        <v>5k@6:00 ili odmor</v>
      </c>
      <c r="H60" t="s">
        <v>78</v>
      </c>
      <c r="I60" t="s">
        <v>107</v>
      </c>
    </row>
    <row r="61" spans="1:9" x14ac:dyDescent="0.2">
      <c r="B61" t="s">
        <v>79</v>
      </c>
      <c r="C61" t="str">
        <f>'21kB'!E22</f>
        <v>zagrevanje 15min@7:30; 
6x(800m@6:05 +30sec@7:30); 
hlađenje 10min@7:30</v>
      </c>
      <c r="H61" t="s">
        <v>79</v>
      </c>
      <c r="I61" t="s">
        <v>128</v>
      </c>
    </row>
    <row r="62" spans="1:9" x14ac:dyDescent="0.2">
      <c r="B62" t="s">
        <v>80</v>
      </c>
      <c r="C62" t="str">
        <f>'21kB'!F22</f>
        <v>5k@6:00 ili odmor</v>
      </c>
      <c r="H62" t="s">
        <v>80</v>
      </c>
      <c r="I62" t="s">
        <v>107</v>
      </c>
    </row>
    <row r="63" spans="1:9" x14ac:dyDescent="0.2">
      <c r="B63" t="s">
        <v>81</v>
      </c>
      <c r="C63" t="str">
        <f>'21kB'!G22</f>
        <v>zagrevanje 15min@7:30; 
3x(400m@6:05 +800m@6:20+3200m@6:40+4min@7:30); 
hlađenje 10min@7:30</v>
      </c>
      <c r="H63" t="s">
        <v>81</v>
      </c>
      <c r="I63" t="s">
        <v>129</v>
      </c>
    </row>
    <row r="64" spans="1:9" x14ac:dyDescent="0.2">
      <c r="B64" t="s">
        <v>0</v>
      </c>
      <c r="C64" t="str">
        <f>'21kB'!H22</f>
        <v>14k@6:00</v>
      </c>
      <c r="H64" t="s">
        <v>0</v>
      </c>
      <c r="I64" t="s">
        <v>108</v>
      </c>
    </row>
    <row r="65" spans="1:9" x14ac:dyDescent="0.2">
      <c r="A65" s="12" t="s">
        <v>0</v>
      </c>
      <c r="B65" s="12" t="s">
        <v>75</v>
      </c>
      <c r="C65" s="12" t="s">
        <v>82</v>
      </c>
      <c r="G65" s="12" t="s">
        <v>0</v>
      </c>
      <c r="H65" s="12" t="s">
        <v>75</v>
      </c>
      <c r="I65" s="12" t="s">
        <v>82</v>
      </c>
    </row>
    <row r="66" spans="1:9" x14ac:dyDescent="0.2">
      <c r="A66" s="5">
        <v>9</v>
      </c>
      <c r="B66" t="s">
        <v>76</v>
      </c>
      <c r="C66" t="str">
        <f>'21kB'!B23</f>
        <v>Plivanje, bicikla, šetanje, vežbe snage, ...</v>
      </c>
      <c r="G66" s="5">
        <v>9</v>
      </c>
      <c r="H66" t="s">
        <v>76</v>
      </c>
      <c r="I66" t="s">
        <v>49</v>
      </c>
    </row>
    <row r="67" spans="1:9" x14ac:dyDescent="0.2">
      <c r="B67" t="s">
        <v>77</v>
      </c>
      <c r="C67" t="str">
        <f>'21kB'!C23</f>
        <v>zagrevanje 15min@7:30; 
4x(2k@6:20 + 2min@7:30);
hlađenje 10min@7:30</v>
      </c>
      <c r="H67" t="s">
        <v>77</v>
      </c>
      <c r="I67" t="s">
        <v>130</v>
      </c>
    </row>
    <row r="68" spans="1:9" x14ac:dyDescent="0.2">
      <c r="B68" t="s">
        <v>78</v>
      </c>
      <c r="C68" t="str">
        <f>'21kB'!D23</f>
        <v>5k@6:00 ili odmor</v>
      </c>
      <c r="H68" t="s">
        <v>78</v>
      </c>
      <c r="I68" t="s">
        <v>107</v>
      </c>
    </row>
    <row r="69" spans="1:9" x14ac:dyDescent="0.2">
      <c r="B69" t="s">
        <v>79</v>
      </c>
      <c r="C69" t="str">
        <f>'21kB'!E23</f>
        <v>zagrevanje 15min@7:30; 
5x(3min@6:00 + 3min@7:30); 
hlađenje 10min@7:30</v>
      </c>
      <c r="H69" t="s">
        <v>79</v>
      </c>
      <c r="I69" t="s">
        <v>131</v>
      </c>
    </row>
    <row r="70" spans="1:9" x14ac:dyDescent="0.2">
      <c r="B70" t="s">
        <v>80</v>
      </c>
      <c r="C70" t="str">
        <f>'21kB'!F23</f>
        <v>5k@6:00 ili odmor</v>
      </c>
      <c r="H70" t="s">
        <v>80</v>
      </c>
      <c r="I70" t="s">
        <v>107</v>
      </c>
    </row>
    <row r="71" spans="1:9" x14ac:dyDescent="0.2">
      <c r="B71" t="s">
        <v>81</v>
      </c>
      <c r="C71" t="str">
        <f>'21kB'!G23</f>
        <v>zagrevanje 10min@7:30; 
60min@6:40; 
hlađenje 10min@7:30</v>
      </c>
      <c r="H71" t="s">
        <v>81</v>
      </c>
      <c r="I71" t="s">
        <v>132</v>
      </c>
    </row>
    <row r="72" spans="1:9" x14ac:dyDescent="0.2">
      <c r="B72" t="s">
        <v>0</v>
      </c>
      <c r="C72" t="str">
        <f>'21kB'!H23</f>
        <v>14k@6:00</v>
      </c>
      <c r="H72" t="s">
        <v>0</v>
      </c>
      <c r="I72" t="s">
        <v>108</v>
      </c>
    </row>
    <row r="73" spans="1:9" x14ac:dyDescent="0.2">
      <c r="A73" s="12" t="s">
        <v>0</v>
      </c>
      <c r="B73" s="12" t="s">
        <v>75</v>
      </c>
      <c r="C73" s="12" t="s">
        <v>82</v>
      </c>
      <c r="G73" s="12" t="s">
        <v>0</v>
      </c>
      <c r="H73" s="12" t="s">
        <v>75</v>
      </c>
      <c r="I73" s="12" t="s">
        <v>82</v>
      </c>
    </row>
    <row r="74" spans="1:9" x14ac:dyDescent="0.2">
      <c r="A74" s="5">
        <v>10</v>
      </c>
      <c r="B74" t="s">
        <v>76</v>
      </c>
      <c r="C74" t="str">
        <f>'21kB'!B24</f>
        <v>5k@6:00, 4-6 x 100m ubrzanja na kraju treninga</v>
      </c>
      <c r="G74" s="5">
        <v>10</v>
      </c>
      <c r="H74" t="s">
        <v>76</v>
      </c>
      <c r="I74" t="s">
        <v>105</v>
      </c>
    </row>
    <row r="75" spans="1:9" x14ac:dyDescent="0.2">
      <c r="B75" t="s">
        <v>77</v>
      </c>
      <c r="C75" t="str">
        <f>'21kB'!C24</f>
        <v>zagrevanje 15min@7:30; 
12x(200m@6:00 + 1min@7:30);
hlađenje 10min@7:30</v>
      </c>
      <c r="H75" t="s">
        <v>77</v>
      </c>
      <c r="I75" t="s">
        <v>133</v>
      </c>
    </row>
    <row r="76" spans="1:9" x14ac:dyDescent="0.2">
      <c r="B76" t="s">
        <v>78</v>
      </c>
      <c r="C76" t="str">
        <f>'21kB'!D24</f>
        <v>progresivno aerobno trčanje u 3 jednaka segmenta, od sporijeg ka bržem</v>
      </c>
      <c r="H76" t="s">
        <v>78</v>
      </c>
      <c r="I76" t="s">
        <v>53</v>
      </c>
    </row>
    <row r="77" spans="1:9" x14ac:dyDescent="0.2">
      <c r="B77" t="s">
        <v>79</v>
      </c>
      <c r="C77" t="str">
        <f>'21kB'!E24</f>
        <v>zagrevanje 15min@7:30; 
7x(1k@6:20 + 2min@7:30); 
hlađenje 10min@7:30</v>
      </c>
      <c r="H77" t="s">
        <v>79</v>
      </c>
      <c r="I77" t="s">
        <v>134</v>
      </c>
    </row>
    <row r="78" spans="1:9" x14ac:dyDescent="0.2">
      <c r="B78" t="s">
        <v>80</v>
      </c>
      <c r="C78" t="str">
        <f>'21kB'!F24</f>
        <v>5k@6:00 ili odmor</v>
      </c>
      <c r="H78" t="s">
        <v>80</v>
      </c>
      <c r="I78" t="s">
        <v>107</v>
      </c>
    </row>
    <row r="79" spans="1:9" x14ac:dyDescent="0.2">
      <c r="B79" t="s">
        <v>81</v>
      </c>
      <c r="C79" t="str">
        <f>'21kB'!G24</f>
        <v>zagrevanje 10min@7:30; 
30min@6:40; 
hlađenje 10min@7:30</v>
      </c>
      <c r="H79" t="s">
        <v>81</v>
      </c>
      <c r="I79" t="s">
        <v>135</v>
      </c>
    </row>
    <row r="80" spans="1:9" x14ac:dyDescent="0.2">
      <c r="B80" t="s">
        <v>0</v>
      </c>
      <c r="C80" t="str">
        <f>'21kB'!H24</f>
        <v>14k@6:00</v>
      </c>
      <c r="H80" t="s">
        <v>0</v>
      </c>
      <c r="I80" t="s">
        <v>108</v>
      </c>
    </row>
    <row r="81" spans="1:9" x14ac:dyDescent="0.2">
      <c r="A81" s="12" t="s">
        <v>0</v>
      </c>
      <c r="B81" s="12" t="s">
        <v>75</v>
      </c>
      <c r="C81" s="12" t="s">
        <v>82</v>
      </c>
      <c r="G81" s="12" t="s">
        <v>0</v>
      </c>
      <c r="H81" s="12" t="s">
        <v>75</v>
      </c>
      <c r="I81" s="12" t="s">
        <v>82</v>
      </c>
    </row>
    <row r="82" spans="1:9" x14ac:dyDescent="0.2">
      <c r="A82" s="5">
        <v>11</v>
      </c>
      <c r="B82" t="s">
        <v>76</v>
      </c>
      <c r="C82" t="str">
        <f>'21kB'!B25</f>
        <v>5k@6:00 ili odmor</v>
      </c>
      <c r="G82" s="5">
        <v>11</v>
      </c>
      <c r="H82" t="s">
        <v>76</v>
      </c>
      <c r="I82" t="s">
        <v>107</v>
      </c>
    </row>
    <row r="83" spans="1:9" x14ac:dyDescent="0.2">
      <c r="B83" t="s">
        <v>77</v>
      </c>
      <c r="C83" t="str">
        <f>'21kB'!C25</f>
        <v>zagrevanje 15min@7:30; 
7x(1k@6:20 + 1min@7:30);
hlađenje 10min@7:30</v>
      </c>
      <c r="H83" t="s">
        <v>77</v>
      </c>
      <c r="I83" t="s">
        <v>136</v>
      </c>
    </row>
    <row r="84" spans="1:9" x14ac:dyDescent="0.2">
      <c r="B84" t="s">
        <v>78</v>
      </c>
      <c r="C84" t="str">
        <f>'21kB'!D25</f>
        <v>5k@6:00 ili odmor</v>
      </c>
      <c r="H84" t="s">
        <v>78</v>
      </c>
      <c r="I84" t="s">
        <v>107</v>
      </c>
    </row>
    <row r="85" spans="1:9" x14ac:dyDescent="0.2">
      <c r="B85" t="s">
        <v>79</v>
      </c>
      <c r="C85" t="str">
        <f>'21kB'!E25</f>
        <v>zagrevanje 15min@7:30; 
5x(3min@6:00 + 3min@7:30); 
hlađenje 10min@7:30</v>
      </c>
      <c r="H85" t="s">
        <v>79</v>
      </c>
      <c r="I85" t="s">
        <v>131</v>
      </c>
    </row>
    <row r="86" spans="1:9" x14ac:dyDescent="0.2">
      <c r="B86" t="s">
        <v>80</v>
      </c>
      <c r="C86" t="str">
        <f>'21kB'!F25</f>
        <v>5k@6:00 ili odmor</v>
      </c>
      <c r="H86" t="s">
        <v>80</v>
      </c>
      <c r="I86" t="s">
        <v>107</v>
      </c>
    </row>
    <row r="87" spans="1:9" x14ac:dyDescent="0.2">
      <c r="B87" t="s">
        <v>81</v>
      </c>
      <c r="C87" t="str">
        <f>'21kB'!G25</f>
        <v>odmor</v>
      </c>
      <c r="H87" t="s">
        <v>81</v>
      </c>
      <c r="I87" t="s">
        <v>88</v>
      </c>
    </row>
    <row r="88" spans="1:9" x14ac:dyDescent="0.2">
      <c r="B88" t="s">
        <v>0</v>
      </c>
      <c r="C88" t="str">
        <f>'21kB'!H25</f>
        <v>zagrevanje 10min@ZA; 
5k@5K; 
hlađenje 10min@HL</v>
      </c>
      <c r="H88" t="s">
        <v>0</v>
      </c>
      <c r="I88" t="s">
        <v>100</v>
      </c>
    </row>
    <row r="89" spans="1:9" x14ac:dyDescent="0.2">
      <c r="A89" s="12" t="s">
        <v>0</v>
      </c>
      <c r="B89" s="12" t="s">
        <v>75</v>
      </c>
      <c r="C89" s="12" t="s">
        <v>82</v>
      </c>
      <c r="G89" s="12" t="s">
        <v>0</v>
      </c>
      <c r="H89" s="12" t="s">
        <v>75</v>
      </c>
      <c r="I89" s="12" t="s">
        <v>82</v>
      </c>
    </row>
    <row r="90" spans="1:9" x14ac:dyDescent="0.2">
      <c r="A90" s="5">
        <v>12</v>
      </c>
      <c r="B90" t="s">
        <v>76</v>
      </c>
      <c r="C90" t="str">
        <f>'21kB'!B26</f>
        <v>5k@6:00 ili odmor</v>
      </c>
      <c r="G90" s="5">
        <v>12</v>
      </c>
      <c r="H90" t="s">
        <v>76</v>
      </c>
      <c r="I90" t="s">
        <v>107</v>
      </c>
    </row>
    <row r="91" spans="1:9" x14ac:dyDescent="0.2">
      <c r="B91" t="s">
        <v>77</v>
      </c>
      <c r="C91" t="str">
        <f>'21kB'!C26</f>
        <v>zagrevanje 10min@; 
20min@21K; 
hlađenje 10min@</v>
      </c>
      <c r="H91" t="s">
        <v>77</v>
      </c>
      <c r="I91" t="s">
        <v>137</v>
      </c>
    </row>
    <row r="92" spans="1:9" x14ac:dyDescent="0.2">
      <c r="B92" t="s">
        <v>78</v>
      </c>
      <c r="C92" t="str">
        <f>'21kB'!D26</f>
        <v>Plivanje, bicikla, šetanje, vežbe snage, ...</v>
      </c>
      <c r="H92" t="s">
        <v>78</v>
      </c>
      <c r="I92" t="s">
        <v>49</v>
      </c>
    </row>
    <row r="93" spans="1:9" x14ac:dyDescent="0.2">
      <c r="B93" t="s">
        <v>79</v>
      </c>
      <c r="C93" t="str">
        <f>'21kB'!E26</f>
        <v>zagrevanje 15min@; 
3x(1.5min@ + 1.5min@); 
hlađenje 10min@</v>
      </c>
      <c r="H93" t="s">
        <v>79</v>
      </c>
      <c r="I93" t="s">
        <v>138</v>
      </c>
    </row>
    <row r="94" spans="1:9" x14ac:dyDescent="0.2">
      <c r="B94" t="s">
        <v>80</v>
      </c>
      <c r="C94" t="str">
        <f>'21kB'!F26</f>
        <v>odmor</v>
      </c>
      <c r="H94" t="s">
        <v>80</v>
      </c>
      <c r="I94" t="s">
        <v>88</v>
      </c>
    </row>
    <row r="95" spans="1:9" x14ac:dyDescent="0.2">
      <c r="B95" t="s">
        <v>81</v>
      </c>
      <c r="C95" t="str">
        <f>'21kB'!G26</f>
        <v>3k@; 
3x100m ubrzanja
Ubrzanja se trče po ravnoj stazi i sa snagom od 85%.
U pauzi se ili hoda ili lagano trči i ne počinje se ponovo dok se potpuno ne odmori.</v>
      </c>
      <c r="H95" t="s">
        <v>81</v>
      </c>
      <c r="I95" t="s">
        <v>139</v>
      </c>
    </row>
    <row r="96" spans="1:9" x14ac:dyDescent="0.2">
      <c r="B96" t="s">
        <v>0</v>
      </c>
      <c r="C96" t="str">
        <f>'21kB'!H26</f>
        <v>Obavezno uraditi zagrevanje laganim trčanjem  na samom startu barem 1km 
Trka: 21.1km</v>
      </c>
      <c r="H96" t="s">
        <v>0</v>
      </c>
      <c r="I96" t="s">
        <v>109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1193-7879-4B98-9E85-D08BD4A393C4}">
  <dimension ref="A1:H26"/>
  <sheetViews>
    <sheetView topLeftCell="A7" workbookViewId="0">
      <selection activeCell="A11" sqref="A11"/>
    </sheetView>
  </sheetViews>
  <sheetFormatPr defaultRowHeight="15" x14ac:dyDescent="0.2"/>
  <cols>
    <col min="2" max="2" width="37.93359375" bestFit="1" customWidth="1"/>
    <col min="3" max="3" width="48.6953125" customWidth="1"/>
    <col min="4" max="4" width="45.19921875" customWidth="1"/>
    <col min="5" max="5" width="69.546875" customWidth="1"/>
    <col min="7" max="7" width="32.41796875" customWidth="1"/>
    <col min="8" max="8" width="15.73828125" customWidth="1"/>
  </cols>
  <sheetData>
    <row r="1" spans="1:8" s="12" customForma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 ht="60" customHeight="1" x14ac:dyDescent="0.2">
      <c r="A2">
        <v>1</v>
      </c>
      <c r="B2" t="s">
        <v>44</v>
      </c>
      <c r="C2" s="11" t="s">
        <v>140</v>
      </c>
      <c r="D2" t="s">
        <v>8</v>
      </c>
      <c r="E2" s="11" t="s">
        <v>141</v>
      </c>
      <c r="F2" t="s">
        <v>45</v>
      </c>
      <c r="G2" s="11" t="s">
        <v>46</v>
      </c>
      <c r="H2" t="s">
        <v>55</v>
      </c>
    </row>
    <row r="3" spans="1:8" ht="41.25" x14ac:dyDescent="0.2">
      <c r="A3">
        <v>2</v>
      </c>
      <c r="B3" t="s">
        <v>45</v>
      </c>
      <c r="C3" s="11" t="s">
        <v>142</v>
      </c>
      <c r="D3" t="s">
        <v>47</v>
      </c>
      <c r="E3" s="11" t="s">
        <v>143</v>
      </c>
      <c r="F3" t="s">
        <v>45</v>
      </c>
      <c r="G3" s="11" t="s">
        <v>47</v>
      </c>
      <c r="H3" t="s">
        <v>48</v>
      </c>
    </row>
    <row r="4" spans="1:8" ht="68.25" x14ac:dyDescent="0.2">
      <c r="A4">
        <v>3</v>
      </c>
      <c r="B4" t="s">
        <v>44</v>
      </c>
      <c r="C4" s="11" t="s">
        <v>144</v>
      </c>
      <c r="D4" t="s">
        <v>45</v>
      </c>
      <c r="E4" s="11" t="s">
        <v>145</v>
      </c>
      <c r="F4" t="s">
        <v>45</v>
      </c>
      <c r="G4" s="11" t="s">
        <v>47</v>
      </c>
      <c r="H4" s="11" t="s">
        <v>147</v>
      </c>
    </row>
    <row r="5" spans="1:8" ht="41.25" x14ac:dyDescent="0.2">
      <c r="A5">
        <v>4</v>
      </c>
      <c r="B5" t="s">
        <v>45</v>
      </c>
      <c r="C5" s="11" t="s">
        <v>146</v>
      </c>
      <c r="D5" t="s">
        <v>45</v>
      </c>
      <c r="E5" s="11" t="s">
        <v>73</v>
      </c>
      <c r="F5" t="s">
        <v>45</v>
      </c>
      <c r="G5" s="11" t="s">
        <v>148</v>
      </c>
      <c r="H5" t="s">
        <v>48</v>
      </c>
    </row>
    <row r="6" spans="1:8" ht="68.25" x14ac:dyDescent="0.2">
      <c r="A6">
        <v>5</v>
      </c>
      <c r="B6" t="s">
        <v>44</v>
      </c>
      <c r="C6" s="11" t="s">
        <v>149</v>
      </c>
      <c r="D6" t="s">
        <v>8</v>
      </c>
      <c r="E6" s="11" t="s">
        <v>150</v>
      </c>
      <c r="F6" t="s">
        <v>45</v>
      </c>
      <c r="G6" s="11" t="s">
        <v>88</v>
      </c>
      <c r="H6" s="11" t="s">
        <v>151</v>
      </c>
    </row>
    <row r="7" spans="1:8" ht="54.75" x14ac:dyDescent="0.2">
      <c r="A7">
        <v>6</v>
      </c>
      <c r="B7" t="s">
        <v>45</v>
      </c>
      <c r="C7" s="11" t="s">
        <v>203</v>
      </c>
      <c r="D7" t="s">
        <v>47</v>
      </c>
      <c r="E7" s="11" t="s">
        <v>72</v>
      </c>
      <c r="F7" t="s">
        <v>45</v>
      </c>
      <c r="G7" s="11" t="s">
        <v>152</v>
      </c>
      <c r="H7" t="s">
        <v>55</v>
      </c>
    </row>
    <row r="8" spans="1:8" ht="68.25" x14ac:dyDescent="0.2">
      <c r="A8">
        <v>7</v>
      </c>
      <c r="B8" t="s">
        <v>88</v>
      </c>
      <c r="C8" s="11" t="s">
        <v>153</v>
      </c>
      <c r="D8" t="s">
        <v>8</v>
      </c>
      <c r="E8" s="11" t="s">
        <v>87</v>
      </c>
      <c r="F8" t="s">
        <v>45</v>
      </c>
      <c r="G8" s="11" t="s">
        <v>88</v>
      </c>
      <c r="H8" s="11" t="s">
        <v>154</v>
      </c>
    </row>
    <row r="9" spans="1:8" ht="41.25" x14ac:dyDescent="0.2">
      <c r="A9">
        <v>8</v>
      </c>
      <c r="B9" t="s">
        <v>45</v>
      </c>
      <c r="C9" s="11" t="s">
        <v>155</v>
      </c>
      <c r="D9" t="s">
        <v>8</v>
      </c>
      <c r="E9" s="11" t="s">
        <v>91</v>
      </c>
      <c r="F9" t="s">
        <v>8</v>
      </c>
      <c r="G9" s="11" t="s">
        <v>45</v>
      </c>
      <c r="H9" t="s">
        <v>156</v>
      </c>
    </row>
    <row r="10" spans="1:8" ht="41.25" x14ac:dyDescent="0.2">
      <c r="A10">
        <v>9</v>
      </c>
      <c r="B10" t="s">
        <v>46</v>
      </c>
      <c r="C10" s="11" t="s">
        <v>93</v>
      </c>
      <c r="D10" t="s">
        <v>8</v>
      </c>
      <c r="E10" s="11" t="s">
        <v>94</v>
      </c>
      <c r="F10" t="s">
        <v>45</v>
      </c>
      <c r="G10" s="11" t="s">
        <v>157</v>
      </c>
      <c r="H10" t="s">
        <v>48</v>
      </c>
    </row>
    <row r="11" spans="1:8" ht="68.25" x14ac:dyDescent="0.2">
      <c r="A11">
        <v>10</v>
      </c>
      <c r="B11" t="s">
        <v>44</v>
      </c>
      <c r="C11" s="11" t="s">
        <v>142</v>
      </c>
      <c r="D11" t="s">
        <v>47</v>
      </c>
      <c r="E11" s="11" t="s">
        <v>158</v>
      </c>
      <c r="F11" t="s">
        <v>45</v>
      </c>
      <c r="G11" s="11" t="s">
        <v>159</v>
      </c>
      <c r="H11" s="11" t="s">
        <v>160</v>
      </c>
    </row>
    <row r="12" spans="1:8" ht="68.25" x14ac:dyDescent="0.2">
      <c r="A12">
        <v>11</v>
      </c>
      <c r="B12" t="s">
        <v>45</v>
      </c>
      <c r="C12" s="11" t="s">
        <v>161</v>
      </c>
      <c r="D12" t="s">
        <v>8</v>
      </c>
      <c r="E12" s="11" t="s">
        <v>94</v>
      </c>
      <c r="F12" t="s">
        <v>45</v>
      </c>
      <c r="G12" s="11" t="s">
        <v>88</v>
      </c>
      <c r="H12" s="11" t="s">
        <v>100</v>
      </c>
    </row>
    <row r="13" spans="1:8" ht="81" x14ac:dyDescent="0.2">
      <c r="A13">
        <v>12</v>
      </c>
      <c r="B13" t="s">
        <v>88</v>
      </c>
      <c r="C13" s="11" t="s">
        <v>101</v>
      </c>
      <c r="D13" t="s">
        <v>44</v>
      </c>
      <c r="E13" s="11" t="s">
        <v>102</v>
      </c>
      <c r="F13" t="s">
        <v>88</v>
      </c>
      <c r="G13" t="s">
        <v>103</v>
      </c>
      <c r="H13" s="11" t="s">
        <v>162</v>
      </c>
    </row>
    <row r="14" spans="1:8" s="12" customFormat="1" x14ac:dyDescent="0.2">
      <c r="A14" s="12" t="s">
        <v>0</v>
      </c>
      <c r="B14" s="12" t="s">
        <v>1</v>
      </c>
      <c r="C14" s="12" t="s">
        <v>2</v>
      </c>
      <c r="D14" s="12" t="s">
        <v>3</v>
      </c>
      <c r="E14" s="12" t="s">
        <v>4</v>
      </c>
      <c r="F14" s="12" t="s">
        <v>5</v>
      </c>
      <c r="G14" s="12" t="s">
        <v>6</v>
      </c>
      <c r="H14" s="12" t="s">
        <v>7</v>
      </c>
    </row>
    <row r="15" spans="1:8" ht="15.75" customHeight="1" x14ac:dyDescent="0.2">
      <c r="A15">
        <v>1</v>
      </c>
      <c r="B15" t="str">
        <f>VLOOKUP(B2,Legenda!$A$1:$B$51,2,FALSE)</f>
        <v>Plivanje, bicikla, šetanje, vežbe snage, ...</v>
      </c>
      <c r="C15" t="str">
        <f>SUBSTITUTE(SUBSTITUTE(SUBSTITUTE(SUBSTITUTE(SUBSTITUTE(SUBSTITUTE(SUBSTITUTE(SUBSTITUTE(C2,"1.5K",VO2max!B2),"3K",VO2max!C2),"5K",VO2max!D2),"10K",VO2max!E2),"21k",VO2max!F2),"42K",VO2max!G2),"ZA",VO2max!H2),"HL",VO2max!I2)</f>
        <v>zagrevanje 15min@7:30; 
3x(8min@6:20 + 3min@7:30); 
hlađenje 10min@7:30</v>
      </c>
      <c r="D15" t="str">
        <f>VLOOKUP(D2,Legenda!$A$1:$B$51,2,FALSE)</f>
        <v>5k@6:00 ili odmor</v>
      </c>
      <c r="E15" t="str">
        <f>SUBSTITUTE(SUBSTITUTE(SUBSTITUTE(SUBSTITUTE(SUBSTITUTE(SUBSTITUTE(SUBSTITUTE(SUBSTITUTE(E2,"1.5K",VO2max!B2),"3K",VO2max!C2),"5K",VO2max!D2),"10K",VO2max!E2),"21k",VO2max!F2),"42K",VO2max!G2),"ZA",VO2max!H2),"HL",VO2max!I2)</f>
        <v>zagrevanje 15min@7:30; 
6x(800min@6:05 + 30s@7:30); 
hlađenje 10min@7:30</v>
      </c>
      <c r="F15" t="str">
        <f>VLOOKUP(F2,Legenda!$A$1:$B$51,2,FALSE)</f>
        <v>5k@6:00 ili odmor</v>
      </c>
      <c r="G15" t="str">
        <f>VLOOKUP(G2,Legenda!$A$1:$B$51,2,FALSE)</f>
        <v>5k@6:00, 4-6 x 100m ubrzanja na kraju treninga</v>
      </c>
      <c r="H15" t="str">
        <f>VLOOKUP(H2,Legenda!$A$1:$B$51,2,FALSE)</f>
        <v>14k@6:00</v>
      </c>
    </row>
    <row r="16" spans="1:8" x14ac:dyDescent="0.2">
      <c r="A16">
        <v>2</v>
      </c>
      <c r="B16" t="str">
        <f>VLOOKUP(B3,Legenda!$A$1:$B$51,2,FALSE)</f>
        <v>5k@6:00 ili odmor</v>
      </c>
      <c r="C16" t="str">
        <f>SUBSTITUTE(SUBSTITUTE(SUBSTITUTE(SUBSTITUTE(SUBSTITUTE(SUBSTITUTE(SUBSTITUTE(SUBSTITUTE(C3,"1.5K",VO2max!B2),"3K",VO2max!C2),"5K",VO2max!D2),"10K",VO2max!E2),"21k",VO2max!F2),"42K",VO2max!G2),"ZA",VO2max!H2),"HL",VO2max!I2)</f>
        <v>zagrevanje 15min@7:30; 
14x(200m@6:00 + 1min@7:30);
hlađenje 10min@7:30</v>
      </c>
      <c r="D16" t="str">
        <f>VLOOKUP(D3,Legenda!$A$1:$B$51,2,FALSE)</f>
        <v>progresivno aerobno trčanje u 3 jednaka segmenta, od sporijeg ka bržem</v>
      </c>
      <c r="E16" t="str">
        <f>SUBSTITUTE(SUBSTITUTE(SUBSTITUTE(SUBSTITUTE(SUBSTITUTE(SUBSTITUTE(SUBSTITUTE(SUBSTITUTE(E3,"1.5K",VO2max!B2),"3K",VO2max!C2),"5K",VO2max!D2),"10K",VO2max!E2),"21k",VO2max!F2),"42K",VO2max!G2),"ZA",VO2max!H2),"HL",VO2max!I2)</f>
        <v>zagrevanje 15min@7:30; 
2x(3k@6:20 +4min@7:30); 
hlađenje 10min@7:30</v>
      </c>
      <c r="F16" t="str">
        <f>VLOOKUP(F3,Legenda!$A$1:$B$51,2,FALSE)</f>
        <v>5k@6:00 ili odmor</v>
      </c>
      <c r="G16" t="str">
        <f>VLOOKUP(G3,Legenda!$A$1:$B$51,2,FALSE)</f>
        <v>progresivno aerobno trčanje u 3 jednaka segmenta, od sporijeg ka bržem</v>
      </c>
      <c r="H16" t="str">
        <f>VLOOKUP(H3,Legenda!$A$1:$B$51,2,FALSE)</f>
        <v>14k@6:00</v>
      </c>
    </row>
    <row r="17" spans="1:8" x14ac:dyDescent="0.2">
      <c r="A17">
        <v>3</v>
      </c>
      <c r="B17" t="str">
        <f>VLOOKUP(B4,Legenda!$A$1:$B$51,2,FALSE)</f>
        <v>Plivanje, bicikla, šetanje, vežbe snage, ...</v>
      </c>
      <c r="C17" t="str">
        <f>SUBSTITUTE(SUBSTITUTE(SUBSTITUTE(SUBSTITUTE(SUBSTITUTE(SUBSTITUTE(SUBSTITUTE(SUBSTITUTE(C4,"1.5K",VO2max!B2),"3K",VO2max!C2),"5K",VO2max!D2),"10K",VO2max!E2),"21k",VO2max!F2),"42K",VO2max!G2),"ZA",VO2max!H2),"HL",VO2max!I2)</f>
        <v>zagrevanje 15min@7:30; 
2x(200K@6:00 + 600m@6:05 + 1600m@6:20 + 4min@7:30)
hlađenje 10min@7:30</v>
      </c>
      <c r="D17" t="str">
        <f>VLOOKUP(D4,Legenda!$A$1:$B$51,2,FALSE)</f>
        <v>5k@6:00 ili odmor</v>
      </c>
      <c r="E17" t="str">
        <f>SUBSTITUTE(SUBSTITUTE(SUBSTITUTE(SUBSTITUTE(SUBSTITUTE(SUBSTITUTE(SUBSTITUTE(SUBSTITUTE(E4,"1.5K",VO2max!B2),"3K",VO2max!C2),"5K",VO2max!D2),"10K",VO2max!E2),"21k",VO2max!F2),"42K",VO2max!G2),"ZA",VO2max!H2),"HL",VO2max!I2)</f>
        <v>zagrevanje 15min@7:30; 
5x(1000m@6:05 + 1min@7:30)
hlađenje 10min@7:30</v>
      </c>
      <c r="F17" t="str">
        <f>VLOOKUP(F4,Legenda!$A$1:$B$51,2,FALSE)</f>
        <v>5k@6:00 ili odmor</v>
      </c>
      <c r="G17" t="str">
        <f>VLOOKUP(G4,Legenda!$A$1:$B$51,2,FALSE)</f>
        <v>progresivno aerobno trčanje u 3 jednaka segmenta, od sporijeg ka bržem</v>
      </c>
      <c r="H17" t="str">
        <f>H4</f>
        <v>zagrevanje 10min@ZA; 
60min@42K; 
hlađenje 10min@HL</v>
      </c>
    </row>
    <row r="18" spans="1:8" x14ac:dyDescent="0.2">
      <c r="A18">
        <v>4</v>
      </c>
      <c r="B18" t="str">
        <f>VLOOKUP(B5,Legenda!$A$1:$B$51,2,FALSE)</f>
        <v>5k@6:00 ili odmor</v>
      </c>
      <c r="C18" t="str">
        <f>SUBSTITUTE(SUBSTITUTE(SUBSTITUTE(SUBSTITUTE(SUBSTITUTE(SUBSTITUTE(SUBSTITUTE(SUBSTITUTE(C5,"1.5K",VO2max!B2),"3K",VO2max!C2),"5K",VO2max!D2),"10K",VO2max!E2),"21k",VO2max!F2),"42K",VO2max!G2),"ZA",VO2max!H2),"HL",VO2max!I2)</f>
        <v>zagrevanje 15min@7:30; 
3x(8min@6:20 + 2min@7:30);
hlađenje 10min@7:30</v>
      </c>
      <c r="D18" t="str">
        <f>VLOOKUP(D5,Legenda!$A$1:$B$51,2,FALSE)</f>
        <v>5k@6:00 ili odmor</v>
      </c>
      <c r="E18" t="str">
        <f>SUBSTITUTE(SUBSTITUTE(SUBSTITUTE(SUBSTITUTE(SUBSTITUTE(SUBSTITUTE(SUBSTITUTE(SUBSTITUTE(E5,"1.5K",VO2max!B2),"3K",VO2max!C2),"5K",VO2max!D2),"10K",VO2max!E2),"21k",VO2max!F2),"42K",VO2max!G2),"ZA",VO2max!H2),"HL",VO2max!I2)</f>
        <v>zagrevanje 15min@7:30; 
3x(1600m@6:05 +1min@7:30); 
hlađenje 10min@7:30</v>
      </c>
      <c r="F18" t="str">
        <f>VLOOKUP(F5,Legenda!$A$1:$B$51,2,FALSE)</f>
        <v>5k@6:00 ili odmor</v>
      </c>
      <c r="G18" t="str">
        <f>SUBSTITUTE(SUBSTITUTE(SUBSTITUTE(SUBSTITUTE(SUBSTITUTE(SUBSTITUTE(SUBSTITUTE(SUBSTITUTE(G5,"1.5K",VO2max!B2),"3K",VO2max!C2),"5K",VO2max!D2),"10K",VO2max!E2),"21K",VO2max!F2),"42K",VO2max!G2),"ZA",VO2max!H2),"HL",VO2max!I2)</f>
        <v>zagrevanje 15min@7:30; 
20min@6:40
hlađenje 10min@7:30</v>
      </c>
      <c r="H18" t="str">
        <f>VLOOKUP(H5,Legenda!$A$1:$B$51,2,FALSE)</f>
        <v>14k@6:00</v>
      </c>
    </row>
    <row r="19" spans="1:8" x14ac:dyDescent="0.2">
      <c r="A19">
        <v>5</v>
      </c>
      <c r="B19" t="str">
        <f>VLOOKUP(B6,Legenda!$A$1:$B$51,2,FALSE)</f>
        <v>Plivanje, bicikla, šetanje, vežbe snage, ...</v>
      </c>
      <c r="C19" t="str">
        <f>SUBSTITUTE(SUBSTITUTE(SUBSTITUTE(SUBSTITUTE(SUBSTITUTE(SUBSTITUTE(SUBSTITUTE(SUBSTITUTE(C6,"1.5K",VO2max!B2),"3K",VO2max!C2),"5K",VO2max!D2),"10K",VO2max!E2),"21k",VO2max!F2),"42K",VO2max!G2),"ZA",VO2max!H2),"HL",VO2max!I2)</f>
        <v>zagrevanje 15min@7:30; 
5x(3min@6:00 +3min@7:30); 
hlađenje 10min@7:30</v>
      </c>
      <c r="D19" t="str">
        <f>VLOOKUP(D6,Legenda!$A$1:$B$51,2,FALSE)</f>
        <v>5k@6:00 ili odmor</v>
      </c>
      <c r="E19" t="str">
        <f>SUBSTITUTE(SUBSTITUTE(SUBSTITUTE(SUBSTITUTE(SUBSTITUTE(SUBSTITUTE(SUBSTITUTE(SUBSTITUTE(E6,"1.5K",VO2max!B2),"3K",VO2max!C2),"5K",VO2max!D2),"10K",VO2max!E2),"21k",VO2max!F2),"42K",VO2max!G2),"ZA",VO2max!H2),"HL",VO2max!I2)</f>
        <v>zagrevanje 15min@7:30; 
7x(1000m@6:20 + 1min@7:30) 
hlađenje 10min@7:30</v>
      </c>
      <c r="F19" t="str">
        <f>VLOOKUP(F6,Legenda!$A$1:$B$51,2,FALSE)</f>
        <v>5k@6:00 ili odmor</v>
      </c>
      <c r="G19" t="str">
        <f>SUBSTITUTE(SUBSTITUTE(SUBSTITUTE(SUBSTITUTE(SUBSTITUTE(SUBSTITUTE(SUBSTITUTE(SUBSTITUTE(G6,"1.5K",VO2max!B2),"3K",VO2max!C2),"5K",VO2max!D2),"10K",VO2max!E2),"21K",VO2max!F2),"42K",VO2max!G2),"ZA",VO2max!H2),"HL",VO2max!I2)</f>
        <v>odmor</v>
      </c>
      <c r="H19" t="str">
        <f>H6</f>
        <v>zagrevanje 10min@ZA; 
90min@42K; 
hlađenje 10min@HL</v>
      </c>
    </row>
    <row r="20" spans="1:8" x14ac:dyDescent="0.2">
      <c r="A20">
        <v>6</v>
      </c>
      <c r="B20" t="str">
        <f>VLOOKUP(B7,Legenda!$A$1:$B$51,2,FALSE)</f>
        <v>5k@6:00 ili odmor</v>
      </c>
      <c r="C20" t="str">
        <f>SUBSTITUTE(SUBSTITUTE(SUBSTITUTE(SUBSTITUTE(SUBSTITUTE(SUBSTITUTE(SUBSTITUTE(SUBSTITUTE(C7,"1.5K",VO2max!B2),"3K",VO2max!C2),"5K",VO2max!D2),"10K",VO2max!E2),"21k",VO2max!F2),"42K",VO2max!G2),"ZA",VO2max!H2),"HL",VO2max!I2)</f>
        <v>zagrevanje 15min@7:30; 
1k@6:20 + 2min@7:30+3k@6:20 + 5min@7:30  + 1k@6:20 + 2min@7:30+ 3k@6:20 + 5min@7:30 + 1k@6:20
hlađenje 10min@7:30</v>
      </c>
      <c r="D20" t="str">
        <f>VLOOKUP(D7,Legenda!$A$1:$B$51,2,FALSE)</f>
        <v>progresivno aerobno trčanje u 3 jednaka segmenta, od sporijeg ka bržem</v>
      </c>
      <c r="E20" t="str">
        <f>SUBSTITUTE(SUBSTITUTE(SUBSTITUTE(SUBSTITUTE(SUBSTITUTE(SUBSTITUTE(SUBSTITUTE(SUBSTITUTE(E7,"1.5K",VO2max!B2),"3K",VO2max!C2),"5K",VO2max!D2),"10K",VO2max!E2),"21k",VO2max!F2),"42K",VO2max!G2),"ZA",VO2max!H2),"HL",VO2max!I2)</f>
        <v>zagrevanje 15min@7:30; 
4x(8min@6:20 +4min@7:30); 
hlađenje 10min@7:30</v>
      </c>
      <c r="F20" t="str">
        <f>VLOOKUP(F7,Legenda!$A$1:$B$51,2,FALSE)</f>
        <v>5k@6:00 ili odmor</v>
      </c>
      <c r="G20" t="str">
        <f>SUBSTITUTE(SUBSTITUTE(SUBSTITUTE(SUBSTITUTE(SUBSTITUTE(SUBSTITUTE(SUBSTITUTE(SUBSTITUTE(G7,"1.5K",VO2max!B2),"3K",VO2max!C2),"5K",VO2max!D2),"10K",VO2max!E2),"21K",VO2max!F2),"42K",VO2max!G2),"ZA",VO2max!H2),"HL",VO2max!I2)</f>
        <v>zagrevanje 15min@7:30; 
30min@6:40
hlađenje 10min@7:30</v>
      </c>
      <c r="H20" t="str">
        <f>VLOOKUP(H7,Legenda!$A$1:$B$51,2,FALSE)</f>
        <v>14k@6:00</v>
      </c>
    </row>
    <row r="21" spans="1:8" x14ac:dyDescent="0.2">
      <c r="A21">
        <v>7</v>
      </c>
      <c r="B21" t="str">
        <f>VLOOKUP(B8,Legenda!$A$1:$B$51,2,FALSE)</f>
        <v>odmor</v>
      </c>
      <c r="C21" t="str">
        <f>SUBSTITUTE(SUBSTITUTE(SUBSTITUTE(SUBSTITUTE(SUBSTITUTE(SUBSTITUTE(SUBSTITUTE(SUBSTITUTE(C8,"1.5K",VO2max!B2),"3K",VO2max!C2),"5K",VO2max!D2),"10K",VO2max!E2),"21k",VO2max!F2),"42K",VO2max!G2),"ZA",VO2max!H2),"HL",VO2max!I2)</f>
        <v>zagrevanje 15min@7:30; 
8x(400m@6:20 + 30sec@7:30);
hlađenje 10min@7:30</v>
      </c>
      <c r="D21" t="str">
        <f>VLOOKUP(D8,Legenda!$A$1:$B$51,2,FALSE)</f>
        <v>5k@6:00 ili odmor</v>
      </c>
      <c r="E21" t="str">
        <f>SUBSTITUTE(SUBSTITUTE(SUBSTITUTE(SUBSTITUTE(SUBSTITUTE(SUBSTITUTE(SUBSTITUTE(SUBSTITUTE(E8,"1.5K",VO2max!B2),"3K",VO2max!C2),"5K",VO2max!D2),"10K",VO2max!E2),"21k",VO2max!F2),"42K",VO2max!G2),"ZA",VO2max!H2),"HL",VO2max!I2)</f>
        <v>zagrevanje 15min@7:30; 
8x(200m@6:00 +1min@7:30); 
hlađenje 10min@7:30</v>
      </c>
      <c r="F21" t="str">
        <f>VLOOKUP(F8,Legenda!$A$1:$B$51,2,FALSE)</f>
        <v>5k@6:00 ili odmor</v>
      </c>
      <c r="G21" t="str">
        <f>SUBSTITUTE(SUBSTITUTE(SUBSTITUTE(SUBSTITUTE(SUBSTITUTE(SUBSTITUTE(SUBSTITUTE(SUBSTITUTE(G8,"1.5K",VO2max!B2),"3K",VO2max!C2),"5K",VO2max!D2),"10K",VO2max!E2),"21K",VO2max!F2),"42K",VO2max!G2),"ZA",VO2max!H2),"HL",VO2max!I2)</f>
        <v>odmor</v>
      </c>
      <c r="H21" t="str">
        <f>H8</f>
        <v>zagrevanje 10min@ZA; 
21k@21K; 
hlađenje 5min@HL</v>
      </c>
    </row>
    <row r="22" spans="1:8" x14ac:dyDescent="0.2">
      <c r="A22">
        <v>8</v>
      </c>
      <c r="B22" t="str">
        <f>VLOOKUP(B9,Legenda!$A$1:$B$51,2,FALSE)</f>
        <v>5k@6:00 ili odmor</v>
      </c>
      <c r="C22" t="str">
        <f>SUBSTITUTE(SUBSTITUTE(SUBSTITUTE(SUBSTITUTE(SUBSTITUTE(SUBSTITUTE(SUBSTITUTE(SUBSTITUTE(C9,"1.5K",VO2max!B2),"3K",VO2max!C2),"5K",VO2max!D2),"10K",VO2max!E2),"21k",VO2max!F2),"42K",VO2max!G2),"ZA",VO2max!H2),"HL",VO2max!I2)</f>
        <v>zagrevanje 15min@7:30; 
2x(400m@6:05 + 400m@6:20 + 2400m@6:50 + 4min@7:30);
hlađenje 10min@7:30</v>
      </c>
      <c r="D22" t="str">
        <f>VLOOKUP(D9,Legenda!$A$1:$B$51,2,FALSE)</f>
        <v>5k@6:00 ili odmor</v>
      </c>
      <c r="E22" t="str">
        <f>SUBSTITUTE(SUBSTITUTE(SUBSTITUTE(SUBSTITUTE(SUBSTITUTE(SUBSTITUTE(SUBSTITUTE(SUBSTITUTE(E9,"1.5K",VO2max!B2),"3K",VO2max!C2),"5K",VO2max!D2),"10K",VO2max!E2),"21k",VO2max!F2),"42K",VO2max!G2),"ZA",VO2max!H2),"HL",VO2max!I2)</f>
        <v>zagrevanje 15min@7:30; 
6x(800m@6:05 +30sec@7:30); 
hlađenje 10min@7:30</v>
      </c>
      <c r="F22" t="str">
        <f>VLOOKUP(F9,Legenda!$A$1:$B$51,2,FALSE)</f>
        <v>5k@6:00 ili odmor</v>
      </c>
      <c r="G22" t="str">
        <f>VLOOKUP(G9,Legenda!$A$1:$B$51,2,FALSE)</f>
        <v>5k@6:00 ili odmor</v>
      </c>
      <c r="H22" t="str">
        <f>VLOOKUP(H9,Legenda!$A$1:$B$51,2,FALSE)</f>
        <v>14k@6:00</v>
      </c>
    </row>
    <row r="23" spans="1:8" x14ac:dyDescent="0.2">
      <c r="A23">
        <v>9</v>
      </c>
      <c r="B23" t="str">
        <f>VLOOKUP(B10,Legenda!$A$1:$B$51,2,FALSE)</f>
        <v>5k@6:00, 4-6 x 100m ubrzanja na kraju treninga</v>
      </c>
      <c r="C23" t="str">
        <f>SUBSTITUTE(SUBSTITUTE(SUBSTITUTE(SUBSTITUTE(SUBSTITUTE(SUBSTITUTE(SUBSTITUTE(SUBSTITUTE(C10,"1.5K",VO2max!B2),"3K",VO2max!C2),"5K",VO2max!D2),"10K",VO2max!E2),"21k",VO2max!F2),"42K",VO2max!G2),"ZA",VO2max!H2),"HL",VO2max!I2)</f>
        <v>zagrevanje 15min@7:30; 
4x(2k@6:20 + 2min@7:30);
hlađenje 10min@7:30</v>
      </c>
      <c r="D23" t="str">
        <f>VLOOKUP(D10,Legenda!$A$1:$B$51,2,FALSE)</f>
        <v>5k@6:00 ili odmor</v>
      </c>
      <c r="E23" t="str">
        <f>SUBSTITUTE(SUBSTITUTE(SUBSTITUTE(SUBSTITUTE(SUBSTITUTE(SUBSTITUTE(SUBSTITUTE(SUBSTITUTE(E10,"1.5K",VO2max!B2),"3K",VO2max!C2),"5K",VO2max!D2),"10K",VO2max!E2),"21k",VO2max!F2),"42K",VO2max!G2),"ZA",VO2max!H2),"HL",VO2max!I2)</f>
        <v>zagrevanje 15min@7:30; 
5x(3min@6:00 + 3min@7:30); 
hlađenje 10min@7:30</v>
      </c>
      <c r="F23" t="str">
        <f>VLOOKUP(F10,Legenda!$A$1:$B$51,2,FALSE)</f>
        <v>5k@6:00 ili odmor</v>
      </c>
      <c r="G23" t="str">
        <f>SUBSTITUTE(SUBSTITUTE(SUBSTITUTE(SUBSTITUTE(SUBSTITUTE(SUBSTITUTE(SUBSTITUTE(SUBSTITUTE(G10,"1.5K",VO2max!B2),"3K",VO2max!C2),"5K",VO2max!D2),"10K",VO2max!E2),"21K",VO2max!F2),"42K",VO2max!G2),"ZA",VO2max!H2),"HL",VO2max!I2)</f>
        <v>zagrevanje 10min@7:30; 
2x(20min@6:40 + 5min@7:30); 
hlađenje 10min@7:30</v>
      </c>
      <c r="H23" t="str">
        <f>VLOOKUP(H10,Legenda!$A$1:$B$51,2,FALSE)</f>
        <v>14k@6:00</v>
      </c>
    </row>
    <row r="24" spans="1:8" x14ac:dyDescent="0.2">
      <c r="A24">
        <v>10</v>
      </c>
      <c r="B24" t="str">
        <f>VLOOKUP(B11,Legenda!$A$1:$B$51,2,FALSE)</f>
        <v>Plivanje, bicikla, šetanje, vežbe snage, ...</v>
      </c>
      <c r="C24" t="str">
        <f>SUBSTITUTE(SUBSTITUTE(SUBSTITUTE(SUBSTITUTE(SUBSTITUTE(SUBSTITUTE(SUBSTITUTE(SUBSTITUTE(C11,"1.5K",VO2max!B2),"3K",VO2max!C2),"5K",VO2max!D2),"10K",VO2max!E2),"21k",VO2max!F2),"42K",VO2max!G2),"ZA",VO2max!H2),"HL",VO2max!I2)</f>
        <v>zagrevanje 15min@7:30; 
14x(200m@6:00 + 1min@7:30);
hlađenje 10min@7:30</v>
      </c>
      <c r="D24" t="str">
        <f>VLOOKUP(D11,Legenda!$A$1:$B$51,2,FALSE)</f>
        <v>progresivno aerobno trčanje u 3 jednaka segmenta, od sporijeg ka bržem</v>
      </c>
      <c r="E24" t="str">
        <f>SUBSTITUTE(SUBSTITUTE(SUBSTITUTE(SUBSTITUTE(SUBSTITUTE(SUBSTITUTE(SUBSTITUTE(SUBSTITUTE(E11,"1.5K",VO2max!B2),"3K",VO2max!C2),"5K",VO2max!D2),"10K",VO2max!E2),"21k",VO2max!F2),"42K",VO2max!G2),"ZA",VO2max!H2),"HL",VO2max!I2)</f>
        <v>zagrevanje 15min@7:30; 
3x(400m@6:05 + 400m@6:20 + 2400m@6:50 + 4min@7:30);
hlađenje 10min@7:30</v>
      </c>
      <c r="F24" t="str">
        <f>VLOOKUP(F11,Legenda!$A$1:$B$51,2,FALSE)</f>
        <v>5k@6:00 ili odmor</v>
      </c>
      <c r="G24" t="str">
        <f>SUBSTITUTE(SUBSTITUTE(SUBSTITUTE(SUBSTITUTE(SUBSTITUTE(SUBSTITUTE(SUBSTITUTE(SUBSTITUTE(G11,"1.5K",VO2max!B2),"3K",VO2max!C2),"5K",VO2max!D2),"10K",VO2max!E2),"21K",VO2max!F2),"42K",VO2max!G2),"ZA",VO2max!H2),"HL",VO2max!I2)</f>
        <v>zagrevanje 10min@7:30; 
40min@6:40; 
hlađenje 10min@7:30</v>
      </c>
      <c r="H24" t="str">
        <f>H11</f>
        <v>zagrevanje 10min@ZA; 
120min@42K; 
hlađenje 10min@HL</v>
      </c>
    </row>
    <row r="25" spans="1:8" x14ac:dyDescent="0.2">
      <c r="A25">
        <v>11</v>
      </c>
      <c r="B25" t="str">
        <f>VLOOKUP(B12,Legenda!$A$1:$B$51,2,FALSE)</f>
        <v>5k@6:00 ili odmor</v>
      </c>
      <c r="C25" t="str">
        <f>SUBSTITUTE(SUBSTITUTE(SUBSTITUTE(SUBSTITUTE(SUBSTITUTE(SUBSTITUTE(SUBSTITUTE(SUBSTITUTE(C12,"1.5K",VO2max!B2),"3K",VO2max!C2),"5K",VO2max!D2),"10K",VO2max!E2),"21k",VO2max!F2),"42K",VO2max!G2),"ZA",VO2max!H2),"HL",VO2max!I2)</f>
        <v>zagrevanje 15min@7:30; 
3x(1600m@6:05 + 1min@7:30);
hlađenje 10min@7:30</v>
      </c>
      <c r="D25" t="str">
        <f>VLOOKUP(D12,Legenda!$A$1:$B$51,2,FALSE)</f>
        <v>5k@6:00 ili odmor</v>
      </c>
      <c r="E25" t="str">
        <f>SUBSTITUTE(SUBSTITUTE(SUBSTITUTE(SUBSTITUTE(SUBSTITUTE(SUBSTITUTE(SUBSTITUTE(SUBSTITUTE(E12,"1.5K",VO2max!B2),"3K",VO2max!C2),"5K",VO2max!D2),"10K",VO2max!E2),"21k",VO2max!F2),"42K",VO2max!G2),"ZA",VO2max!H2),"HL",VO2max!I2)</f>
        <v>zagrevanje 15min@7:30; 
5x(3min@6:00 + 3min@7:30); 
hlađenje 10min@7:30</v>
      </c>
      <c r="F25" t="str">
        <f>VLOOKUP(F12,Legenda!$A$1:$B$51,2,FALSE)</f>
        <v>5k@6:00 ili odmor</v>
      </c>
      <c r="G25" t="str">
        <f>SUBSTITUTE(SUBSTITUTE(SUBSTITUTE(SUBSTITUTE(SUBSTITUTE(SUBSTITUTE(SUBSTITUTE(SUBSTITUTE(G12,"1.5K",VO2max!B2),"3K",VO2max!C2),"5K",VO2max!D2),"10K",VO2max!E2),"21K",VO2max!F2),"42K",VO2max!G2),"ZA",VO2max!H2),"HL",VO2max!I2)</f>
        <v>odmor</v>
      </c>
      <c r="H25" t="str">
        <f>VLOOKUP(H12,Legenda!$A$1:$B$51,2,FALSE)</f>
        <v>zagrevanje 10min@ZA; 
5k@5K; 
hlađenje 10min@HL</v>
      </c>
    </row>
    <row r="26" spans="1:8" x14ac:dyDescent="0.2">
      <c r="A26">
        <v>12</v>
      </c>
      <c r="B26" t="str">
        <f>VLOOKUP(B13,Legenda!$A$1:$B$51,2,FALSE)</f>
        <v>odmor</v>
      </c>
      <c r="C26" t="str">
        <f>SUBSTITUTE(SUBSTITUTE(SUBSTITUTE(SUBSTITUTE(SUBSTITUTE(SUBSTITUTE(SUBSTITUTE(SUBSTITUTE(C13,"1.5K",VO2max!B3),"3K",VO2max!C3),"5K",VO2max!D3),"10K",VO2max!E3),"21k",VO2max!F3),"42K",VO2max!G3),"ZA",VO2max!H3),"HL",VO2max!I3)</f>
        <v>zagrevanje 10min@; 
20min@21K; 
hlađenje 10min@</v>
      </c>
      <c r="D26" t="str">
        <f>VLOOKUP(D13,Legenda!$A$1:$B$51,2,FALSE)</f>
        <v>Plivanje, bicikla, šetanje, vežbe snage, ...</v>
      </c>
      <c r="E26" t="str">
        <f>SUBSTITUTE(SUBSTITUTE(SUBSTITUTE(SUBSTITUTE(SUBSTITUTE(SUBSTITUTE(SUBSTITUTE(SUBSTITUTE(E13,"1.5K",VO2max!B3),"3K",VO2max!C3),"5K",VO2max!D3),"10K",VO2max!E3),"21k",VO2max!F3),"42K",VO2max!G3),"ZA",VO2max!H3),"HL",VO2max!I3)</f>
        <v>zagrevanje 15min@; 
3x(1.5min@ + 1.5min@); 
hlađenje 10min@</v>
      </c>
      <c r="F26" t="str">
        <f>VLOOKUP(F13,Legenda!$A$1:$B$51,2,FALSE)</f>
        <v>odmor</v>
      </c>
      <c r="G26" t="str">
        <f>SUBSTITUTE(SUBSTITUTE(SUBSTITUTE(SUBSTITUTE(SUBSTITUTE(SUBSTITUTE(SUBSTITUTE(SUBSTITUTE(G13,"1.5K",VO2max!B3),"3K",VO2max!C3),"5K",VO2max!D3),"10K",VO2max!E3),"21K",VO2max!F3),"42K",VO2max!G3),"ZA",VO2max!H3),"HL",VO2max!I3)</f>
        <v>3k@; 
3x100m ubrzanja
Ubrzanja se trče po ravnoj stazi i sa snagom od 85%.
U pauzi se ili hoda ili lagano trči i ne počinje se ponovo dok se potpuno ne odmori.</v>
      </c>
      <c r="H26" t="str">
        <f>H13</f>
        <v>Obavezno uraditi zagrevanje laganim trčanjem  na samom startu barem 1km
Trka: 42.2km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2AD4-DF5A-4F1E-BB2D-A99E3A583BB6}">
  <dimension ref="A1:I96"/>
  <sheetViews>
    <sheetView topLeftCell="B41" workbookViewId="0">
      <selection activeCell="G1" sqref="G1:I96"/>
    </sheetView>
  </sheetViews>
  <sheetFormatPr defaultRowHeight="15" x14ac:dyDescent="0.2"/>
  <cols>
    <col min="1" max="1" width="9.14453125" style="5"/>
    <col min="2" max="2" width="16.0078125" customWidth="1"/>
    <col min="3" max="3" width="86.765625" customWidth="1"/>
    <col min="8" max="8" width="17.62109375" customWidth="1"/>
    <col min="9" max="9" width="89.58984375" customWidth="1"/>
    <col min="10" max="10" width="76.2734375" customWidth="1"/>
    <col min="12" max="12" width="27.3046875" customWidth="1"/>
  </cols>
  <sheetData>
    <row r="1" spans="1:9" x14ac:dyDescent="0.2">
      <c r="A1" s="12" t="s">
        <v>0</v>
      </c>
      <c r="B1" s="12" t="s">
        <v>75</v>
      </c>
      <c r="C1" s="12" t="s">
        <v>82</v>
      </c>
      <c r="G1" s="12" t="s">
        <v>0</v>
      </c>
      <c r="H1" s="12" t="s">
        <v>75</v>
      </c>
      <c r="I1" s="12" t="s">
        <v>82</v>
      </c>
    </row>
    <row r="2" spans="1:9" x14ac:dyDescent="0.2">
      <c r="A2" s="5">
        <v>1</v>
      </c>
      <c r="B2" t="s">
        <v>76</v>
      </c>
      <c r="C2" t="str">
        <f>'42kB'!B15</f>
        <v>Plivanje, bicikla, šetanje, vežbe snage, ...</v>
      </c>
      <c r="G2" s="5">
        <v>1</v>
      </c>
      <c r="H2" t="s">
        <v>76</v>
      </c>
      <c r="I2" t="s">
        <v>49</v>
      </c>
    </row>
    <row r="3" spans="1:9" x14ac:dyDescent="0.2">
      <c r="B3" t="s">
        <v>77</v>
      </c>
      <c r="C3" t="str">
        <f>'42kB'!C15</f>
        <v>zagrevanje 15min@7:30; 
3x(8min@6:20 + 3min@7:30); 
hlađenje 10min@7:30</v>
      </c>
      <c r="H3" t="s">
        <v>77</v>
      </c>
      <c r="I3" t="s">
        <v>177</v>
      </c>
    </row>
    <row r="4" spans="1:9" x14ac:dyDescent="0.2">
      <c r="B4" t="s">
        <v>78</v>
      </c>
      <c r="C4" t="str">
        <f>'42kB'!D15</f>
        <v>5k@6:00 ili odmor</v>
      </c>
      <c r="H4" t="s">
        <v>78</v>
      </c>
      <c r="I4" t="s">
        <v>202</v>
      </c>
    </row>
    <row r="5" spans="1:9" x14ac:dyDescent="0.2">
      <c r="B5" t="s">
        <v>79</v>
      </c>
      <c r="C5" t="str">
        <f>'42kB'!E15</f>
        <v>zagrevanje 15min@7:30; 
6x(800min@6:05 + 30s@7:30); 
hlađenje 10min@7:30</v>
      </c>
      <c r="H5" t="s">
        <v>79</v>
      </c>
      <c r="I5" t="s">
        <v>178</v>
      </c>
    </row>
    <row r="6" spans="1:9" x14ac:dyDescent="0.2">
      <c r="B6" t="s">
        <v>80</v>
      </c>
      <c r="C6" t="str">
        <f>'42kB'!F15</f>
        <v>5k@6:00 ili odmor</v>
      </c>
      <c r="H6" t="s">
        <v>80</v>
      </c>
      <c r="I6" t="s">
        <v>202</v>
      </c>
    </row>
    <row r="7" spans="1:9" x14ac:dyDescent="0.2">
      <c r="B7" t="s">
        <v>81</v>
      </c>
      <c r="C7" t="str">
        <f>'42kB'!G15</f>
        <v>5k@6:00, 4-6 x 100m ubrzanja na kraju treninga</v>
      </c>
      <c r="H7" t="s">
        <v>81</v>
      </c>
      <c r="I7" t="s">
        <v>175</v>
      </c>
    </row>
    <row r="8" spans="1:9" x14ac:dyDescent="0.2">
      <c r="B8" t="s">
        <v>0</v>
      </c>
      <c r="C8" t="str">
        <f>'42kB'!H15</f>
        <v>14k@6:00</v>
      </c>
      <c r="H8" t="s">
        <v>0</v>
      </c>
      <c r="I8" t="s">
        <v>176</v>
      </c>
    </row>
    <row r="9" spans="1:9" x14ac:dyDescent="0.2">
      <c r="A9" s="12" t="s">
        <v>0</v>
      </c>
      <c r="B9" s="12" t="s">
        <v>75</v>
      </c>
      <c r="C9" s="12" t="s">
        <v>82</v>
      </c>
      <c r="G9" s="12" t="s">
        <v>0</v>
      </c>
      <c r="H9" s="12" t="s">
        <v>75</v>
      </c>
      <c r="I9" s="12" t="s">
        <v>82</v>
      </c>
    </row>
    <row r="10" spans="1:9" x14ac:dyDescent="0.2">
      <c r="A10" s="5">
        <v>2</v>
      </c>
      <c r="B10" t="s">
        <v>76</v>
      </c>
      <c r="C10" t="str">
        <f>'42kB'!B16</f>
        <v>5k@6:00 ili odmor</v>
      </c>
      <c r="G10" s="5">
        <v>2</v>
      </c>
      <c r="H10" t="s">
        <v>76</v>
      </c>
      <c r="I10" t="s">
        <v>202</v>
      </c>
    </row>
    <row r="11" spans="1:9" x14ac:dyDescent="0.2">
      <c r="B11" t="s">
        <v>77</v>
      </c>
      <c r="C11" t="str">
        <f>'42kB'!C16</f>
        <v>zagrevanje 15min@7:30; 
14x(200m@6:00 + 1min@7:30);
hlađenje 10min@7:30</v>
      </c>
      <c r="H11" t="s">
        <v>77</v>
      </c>
      <c r="I11" t="s">
        <v>179</v>
      </c>
    </row>
    <row r="12" spans="1:9" x14ac:dyDescent="0.2">
      <c r="B12" t="s">
        <v>78</v>
      </c>
      <c r="C12" t="str">
        <f>'42kB'!D16</f>
        <v>progresivno aerobno trčanje u 3 jednaka segmenta, od sporijeg ka bržem</v>
      </c>
      <c r="H12" t="s">
        <v>78</v>
      </c>
      <c r="I12" t="s">
        <v>53</v>
      </c>
    </row>
    <row r="13" spans="1:9" x14ac:dyDescent="0.2">
      <c r="B13" t="s">
        <v>79</v>
      </c>
      <c r="C13" t="str">
        <f>'42kB'!E16</f>
        <v>zagrevanje 15min@7:30; 
2x(3k@6:20 +4min@7:30); 
hlađenje 10min@7:30</v>
      </c>
      <c r="H13" t="s">
        <v>79</v>
      </c>
      <c r="I13" t="s">
        <v>180</v>
      </c>
    </row>
    <row r="14" spans="1:9" x14ac:dyDescent="0.2">
      <c r="B14" t="s">
        <v>80</v>
      </c>
      <c r="C14" t="str">
        <f>'42kB'!F16</f>
        <v>5k@6:00 ili odmor</v>
      </c>
      <c r="H14" t="s">
        <v>80</v>
      </c>
      <c r="I14" t="s">
        <v>202</v>
      </c>
    </row>
    <row r="15" spans="1:9" x14ac:dyDescent="0.2">
      <c r="B15" t="s">
        <v>81</v>
      </c>
      <c r="C15" t="str">
        <f>'42kB'!G16</f>
        <v>progresivno aerobno trčanje u 3 jednaka segmenta, od sporijeg ka bržem</v>
      </c>
      <c r="H15" t="s">
        <v>81</v>
      </c>
      <c r="I15" t="s">
        <v>53</v>
      </c>
    </row>
    <row r="16" spans="1:9" x14ac:dyDescent="0.2">
      <c r="B16" t="s">
        <v>0</v>
      </c>
      <c r="C16" t="str">
        <f>'42kB'!H16</f>
        <v>14k@6:00</v>
      </c>
      <c r="H16" t="s">
        <v>0</v>
      </c>
      <c r="I16" t="s">
        <v>176</v>
      </c>
    </row>
    <row r="17" spans="1:9" x14ac:dyDescent="0.2">
      <c r="A17" s="12" t="s">
        <v>0</v>
      </c>
      <c r="B17" s="12" t="s">
        <v>75</v>
      </c>
      <c r="C17" s="12" t="s">
        <v>82</v>
      </c>
      <c r="G17" s="12" t="s">
        <v>0</v>
      </c>
      <c r="H17" s="12" t="s">
        <v>75</v>
      </c>
      <c r="I17" s="12" t="s">
        <v>82</v>
      </c>
    </row>
    <row r="18" spans="1:9" x14ac:dyDescent="0.2">
      <c r="A18" s="5">
        <v>3</v>
      </c>
      <c r="B18" t="s">
        <v>76</v>
      </c>
      <c r="C18" t="str">
        <f>'42kB'!B17</f>
        <v>Plivanje, bicikla, šetanje, vežbe snage, ...</v>
      </c>
      <c r="G18" s="5">
        <v>3</v>
      </c>
      <c r="H18" t="s">
        <v>76</v>
      </c>
      <c r="I18" t="s">
        <v>49</v>
      </c>
    </row>
    <row r="19" spans="1:9" x14ac:dyDescent="0.2">
      <c r="B19" t="s">
        <v>77</v>
      </c>
      <c r="C19" t="str">
        <f>'42kB'!C17</f>
        <v>zagrevanje 15min@7:30; 
2x(200K@6:00 + 600m@6:05 + 1600m@6:20 + 4min@7:30)
hlađenje 10min@7:30</v>
      </c>
      <c r="H19" t="s">
        <v>77</v>
      </c>
      <c r="I19" t="s">
        <v>181</v>
      </c>
    </row>
    <row r="20" spans="1:9" x14ac:dyDescent="0.2">
      <c r="B20" t="s">
        <v>78</v>
      </c>
      <c r="C20" t="str">
        <f>'42kB'!D17</f>
        <v>5k@6:00 ili odmor</v>
      </c>
      <c r="H20" t="s">
        <v>78</v>
      </c>
      <c r="I20" t="s">
        <v>202</v>
      </c>
    </row>
    <row r="21" spans="1:9" x14ac:dyDescent="0.2">
      <c r="B21" t="s">
        <v>79</v>
      </c>
      <c r="C21" t="str">
        <f>'42kB'!E17</f>
        <v>zagrevanje 15min@7:30; 
5x(1000m@6:05 + 1min@7:30)
hlađenje 10min@7:30</v>
      </c>
      <c r="H21" t="s">
        <v>79</v>
      </c>
      <c r="I21" t="s">
        <v>182</v>
      </c>
    </row>
    <row r="22" spans="1:9" x14ac:dyDescent="0.2">
      <c r="B22" t="s">
        <v>80</v>
      </c>
      <c r="C22" t="str">
        <f>'42kB'!F17</f>
        <v>5k@6:00 ili odmor</v>
      </c>
      <c r="H22" t="s">
        <v>80</v>
      </c>
      <c r="I22" t="s">
        <v>202</v>
      </c>
    </row>
    <row r="23" spans="1:9" x14ac:dyDescent="0.2">
      <c r="B23" t="s">
        <v>81</v>
      </c>
      <c r="C23" t="str">
        <f>'42kB'!G17</f>
        <v>progresivno aerobno trčanje u 3 jednaka segmenta, od sporijeg ka bržem</v>
      </c>
      <c r="H23" t="s">
        <v>81</v>
      </c>
      <c r="I23" t="s">
        <v>53</v>
      </c>
    </row>
    <row r="24" spans="1:9" x14ac:dyDescent="0.2">
      <c r="B24" t="s">
        <v>0</v>
      </c>
      <c r="C24" t="str">
        <f>'42kB'!H17</f>
        <v>zagrevanje 10min@ZA; 
60min@42K; 
hlađenje 10min@HL</v>
      </c>
      <c r="H24" t="s">
        <v>0</v>
      </c>
      <c r="I24" t="s">
        <v>147</v>
      </c>
    </row>
    <row r="25" spans="1:9" x14ac:dyDescent="0.2">
      <c r="A25" s="12" t="s">
        <v>0</v>
      </c>
      <c r="B25" s="12" t="s">
        <v>75</v>
      </c>
      <c r="C25" s="12" t="s">
        <v>82</v>
      </c>
      <c r="G25" s="12" t="s">
        <v>0</v>
      </c>
      <c r="H25" s="12" t="s">
        <v>75</v>
      </c>
      <c r="I25" s="12" t="s">
        <v>82</v>
      </c>
    </row>
    <row r="26" spans="1:9" x14ac:dyDescent="0.2">
      <c r="A26" s="5">
        <v>4</v>
      </c>
      <c r="B26" t="s">
        <v>76</v>
      </c>
      <c r="C26" t="str">
        <f>'42kB'!B18</f>
        <v>5k@6:00 ili odmor</v>
      </c>
      <c r="G26" s="5">
        <v>4</v>
      </c>
      <c r="H26" t="s">
        <v>76</v>
      </c>
      <c r="I26" t="s">
        <v>202</v>
      </c>
    </row>
    <row r="27" spans="1:9" x14ac:dyDescent="0.2">
      <c r="B27" t="s">
        <v>77</v>
      </c>
      <c r="C27" t="str">
        <f>'42kB'!C18</f>
        <v>zagrevanje 15min@7:30; 
3x(8min@6:20 + 2min@7:30);
hlađenje 10min@7:30</v>
      </c>
      <c r="H27" t="s">
        <v>77</v>
      </c>
      <c r="I27" t="s">
        <v>183</v>
      </c>
    </row>
    <row r="28" spans="1:9" x14ac:dyDescent="0.2">
      <c r="B28" t="s">
        <v>78</v>
      </c>
      <c r="C28" t="str">
        <f>'42kB'!D18</f>
        <v>5k@6:00 ili odmor</v>
      </c>
      <c r="H28" t="s">
        <v>78</v>
      </c>
      <c r="I28" t="s">
        <v>202</v>
      </c>
    </row>
    <row r="29" spans="1:9" x14ac:dyDescent="0.2">
      <c r="B29" t="s">
        <v>79</v>
      </c>
      <c r="C29" t="str">
        <f>'42kB'!E18</f>
        <v>zagrevanje 15min@7:30; 
3x(1600m@6:05 +1min@7:30); 
hlađenje 10min@7:30</v>
      </c>
      <c r="H29" t="s">
        <v>79</v>
      </c>
      <c r="I29" t="s">
        <v>184</v>
      </c>
    </row>
    <row r="30" spans="1:9" x14ac:dyDescent="0.2">
      <c r="B30" t="s">
        <v>80</v>
      </c>
      <c r="C30" t="str">
        <f>'42kB'!F18</f>
        <v>5k@6:00 ili odmor</v>
      </c>
      <c r="H30" t="s">
        <v>80</v>
      </c>
      <c r="I30" t="s">
        <v>202</v>
      </c>
    </row>
    <row r="31" spans="1:9" x14ac:dyDescent="0.2">
      <c r="B31" t="s">
        <v>81</v>
      </c>
      <c r="C31" t="str">
        <f>'42kB'!G18</f>
        <v>zagrevanje 15min@7:30; 
20min@6:40
hlađenje 10min@7:30</v>
      </c>
      <c r="H31" t="s">
        <v>81</v>
      </c>
      <c r="I31" t="s">
        <v>185</v>
      </c>
    </row>
    <row r="32" spans="1:9" x14ac:dyDescent="0.2">
      <c r="B32" t="s">
        <v>0</v>
      </c>
      <c r="C32" t="str">
        <f>'42kB'!H18</f>
        <v>14k@6:00</v>
      </c>
      <c r="H32" t="s">
        <v>0</v>
      </c>
      <c r="I32" t="s">
        <v>176</v>
      </c>
    </row>
    <row r="33" spans="1:9" x14ac:dyDescent="0.2">
      <c r="A33" s="12" t="s">
        <v>0</v>
      </c>
      <c r="B33" s="12" t="s">
        <v>75</v>
      </c>
      <c r="C33" s="12" t="s">
        <v>82</v>
      </c>
      <c r="G33" s="12" t="s">
        <v>0</v>
      </c>
      <c r="H33" s="12" t="s">
        <v>75</v>
      </c>
      <c r="I33" s="12" t="s">
        <v>82</v>
      </c>
    </row>
    <row r="34" spans="1:9" x14ac:dyDescent="0.2">
      <c r="A34" s="5">
        <v>5</v>
      </c>
      <c r="B34" t="s">
        <v>76</v>
      </c>
      <c r="C34" t="str">
        <f>'21kB'!B19</f>
        <v>Plivanje, bicikla, šetanje, vežbe snage, ...</v>
      </c>
      <c r="G34" s="5">
        <v>5</v>
      </c>
      <c r="H34" t="s">
        <v>76</v>
      </c>
      <c r="I34" t="s">
        <v>49</v>
      </c>
    </row>
    <row r="35" spans="1:9" x14ac:dyDescent="0.2">
      <c r="B35" t="s">
        <v>77</v>
      </c>
      <c r="C35" t="str">
        <f>'42kB'!C19</f>
        <v>zagrevanje 15min@7:30; 
5x(3min@6:00 +3min@7:30); 
hlađenje 10min@7:30</v>
      </c>
      <c r="H35" t="s">
        <v>77</v>
      </c>
      <c r="I35" t="s">
        <v>186</v>
      </c>
    </row>
    <row r="36" spans="1:9" x14ac:dyDescent="0.2">
      <c r="B36" t="s">
        <v>78</v>
      </c>
      <c r="C36" t="str">
        <f>'42kB'!D19</f>
        <v>5k@6:00 ili odmor</v>
      </c>
      <c r="H36" t="s">
        <v>78</v>
      </c>
      <c r="I36" t="s">
        <v>202</v>
      </c>
    </row>
    <row r="37" spans="1:9" x14ac:dyDescent="0.2">
      <c r="B37" t="s">
        <v>79</v>
      </c>
      <c r="C37" t="str">
        <f>'42kB'!E19</f>
        <v>zagrevanje 15min@7:30; 
7x(1000m@6:20 + 1min@7:30) 
hlađenje 10min@7:30</v>
      </c>
      <c r="H37" t="s">
        <v>79</v>
      </c>
      <c r="I37" t="s">
        <v>187</v>
      </c>
    </row>
    <row r="38" spans="1:9" x14ac:dyDescent="0.2">
      <c r="B38" t="s">
        <v>80</v>
      </c>
      <c r="C38" t="str">
        <f>'42kB'!F19</f>
        <v>5k@6:00 ili odmor</v>
      </c>
      <c r="H38" t="s">
        <v>80</v>
      </c>
      <c r="I38" t="s">
        <v>202</v>
      </c>
    </row>
    <row r="39" spans="1:9" x14ac:dyDescent="0.2">
      <c r="B39" t="s">
        <v>81</v>
      </c>
      <c r="C39" t="str">
        <f>'42kB'!G19</f>
        <v>odmor</v>
      </c>
      <c r="H39" t="s">
        <v>81</v>
      </c>
      <c r="I39" t="s">
        <v>88</v>
      </c>
    </row>
    <row r="40" spans="1:9" x14ac:dyDescent="0.2">
      <c r="B40" t="s">
        <v>0</v>
      </c>
      <c r="C40" t="str">
        <f>'42kB'!H19</f>
        <v>zagrevanje 10min@ZA; 
90min@42K; 
hlađenje 10min@HL</v>
      </c>
      <c r="H40" t="s">
        <v>0</v>
      </c>
      <c r="I40" t="s">
        <v>151</v>
      </c>
    </row>
    <row r="41" spans="1:9" x14ac:dyDescent="0.2">
      <c r="A41" s="12" t="s">
        <v>0</v>
      </c>
      <c r="B41" s="12" t="s">
        <v>75</v>
      </c>
      <c r="C41" s="12" t="s">
        <v>82</v>
      </c>
      <c r="G41" s="12" t="s">
        <v>0</v>
      </c>
      <c r="H41" s="12" t="s">
        <v>75</v>
      </c>
      <c r="I41" s="12" t="s">
        <v>82</v>
      </c>
    </row>
    <row r="42" spans="1:9" x14ac:dyDescent="0.2">
      <c r="A42" s="5">
        <v>6</v>
      </c>
      <c r="B42" t="s">
        <v>76</v>
      </c>
      <c r="C42" t="str">
        <f>'42kB'!B20</f>
        <v>5k@6:00 ili odmor</v>
      </c>
      <c r="G42" s="5">
        <v>6</v>
      </c>
      <c r="H42" t="s">
        <v>76</v>
      </c>
      <c r="I42" t="s">
        <v>202</v>
      </c>
    </row>
    <row r="43" spans="1:9" x14ac:dyDescent="0.2">
      <c r="B43" t="s">
        <v>77</v>
      </c>
      <c r="C43" t="str">
        <f>'42kB'!C20</f>
        <v>zagrevanje 15min@7:30; 
1k@6:20 + 2min@7:30+3k@6:20 + 5min@7:30  + 1k@6:20 + 2min@7:30+ 3k@6:20 + 5min@7:30 + 1k@6:20
hlađenje 10min@7:30</v>
      </c>
      <c r="H43" t="s">
        <v>77</v>
      </c>
      <c r="I43" t="s">
        <v>188</v>
      </c>
    </row>
    <row r="44" spans="1:9" x14ac:dyDescent="0.2">
      <c r="B44" t="s">
        <v>78</v>
      </c>
      <c r="C44" t="str">
        <f>'42kB'!D20</f>
        <v>progresivno aerobno trčanje u 3 jednaka segmenta, od sporijeg ka bržem</v>
      </c>
      <c r="H44" t="s">
        <v>78</v>
      </c>
      <c r="I44" t="s">
        <v>53</v>
      </c>
    </row>
    <row r="45" spans="1:9" x14ac:dyDescent="0.2">
      <c r="B45" t="s">
        <v>79</v>
      </c>
      <c r="C45" t="str">
        <f>'42kB'!E20</f>
        <v>zagrevanje 15min@7:30; 
4x(8min@6:20 +4min@7:30); 
hlađenje 10min@7:30</v>
      </c>
      <c r="H45" t="s">
        <v>79</v>
      </c>
      <c r="I45" t="s">
        <v>189</v>
      </c>
    </row>
    <row r="46" spans="1:9" x14ac:dyDescent="0.2">
      <c r="B46" t="s">
        <v>80</v>
      </c>
      <c r="C46" t="str">
        <f>'42kB'!F20</f>
        <v>5k@6:00 ili odmor</v>
      </c>
      <c r="H46" t="s">
        <v>80</v>
      </c>
      <c r="I46" t="s">
        <v>202</v>
      </c>
    </row>
    <row r="47" spans="1:9" x14ac:dyDescent="0.2">
      <c r="B47" t="s">
        <v>81</v>
      </c>
      <c r="C47" t="str">
        <f>'42kB'!G20</f>
        <v>zagrevanje 15min@7:30; 
30min@6:40
hlađenje 10min@7:30</v>
      </c>
      <c r="H47" t="s">
        <v>81</v>
      </c>
      <c r="I47" t="s">
        <v>190</v>
      </c>
    </row>
    <row r="48" spans="1:9" x14ac:dyDescent="0.2">
      <c r="B48" t="s">
        <v>0</v>
      </c>
      <c r="C48" t="str">
        <f>'42kB'!H20</f>
        <v>14k@6:00</v>
      </c>
      <c r="H48" t="s">
        <v>0</v>
      </c>
      <c r="I48" t="s">
        <v>176</v>
      </c>
    </row>
    <row r="49" spans="1:9" x14ac:dyDescent="0.2">
      <c r="A49" s="12" t="s">
        <v>0</v>
      </c>
      <c r="B49" s="12" t="s">
        <v>75</v>
      </c>
      <c r="C49" s="12" t="s">
        <v>82</v>
      </c>
      <c r="G49" s="12" t="s">
        <v>0</v>
      </c>
      <c r="H49" s="12" t="s">
        <v>75</v>
      </c>
      <c r="I49" s="12" t="s">
        <v>82</v>
      </c>
    </row>
    <row r="50" spans="1:9" x14ac:dyDescent="0.2">
      <c r="A50" s="5">
        <v>7</v>
      </c>
      <c r="B50" t="s">
        <v>76</v>
      </c>
      <c r="C50" t="str">
        <f>'21kB'!B21</f>
        <v>Plivanje, bicikla, šetanje, vežbe snage, ...</v>
      </c>
      <c r="G50" s="5">
        <v>7</v>
      </c>
      <c r="H50" t="s">
        <v>76</v>
      </c>
      <c r="I50" t="s">
        <v>49</v>
      </c>
    </row>
    <row r="51" spans="1:9" x14ac:dyDescent="0.2">
      <c r="B51" t="s">
        <v>77</v>
      </c>
      <c r="C51" t="str">
        <f>'42kB'!C21</f>
        <v>zagrevanje 15min@7:30; 
8x(400m@6:20 + 30sec@7:30);
hlađenje 10min@7:30</v>
      </c>
      <c r="H51" t="s">
        <v>77</v>
      </c>
      <c r="I51" t="s">
        <v>191</v>
      </c>
    </row>
    <row r="52" spans="1:9" x14ac:dyDescent="0.2">
      <c r="B52" t="s">
        <v>78</v>
      </c>
      <c r="C52" t="str">
        <f>'42kB'!D21</f>
        <v>5k@6:00 ili odmor</v>
      </c>
      <c r="H52" t="s">
        <v>78</v>
      </c>
      <c r="I52" t="s">
        <v>202</v>
      </c>
    </row>
    <row r="53" spans="1:9" x14ac:dyDescent="0.2">
      <c r="B53" t="s">
        <v>79</v>
      </c>
      <c r="C53" t="str">
        <f>'42kB'!E21</f>
        <v>zagrevanje 15min@7:30; 
8x(200m@6:00 +1min@7:30); 
hlađenje 10min@7:30</v>
      </c>
      <c r="H53" t="s">
        <v>79</v>
      </c>
      <c r="I53" t="s">
        <v>192</v>
      </c>
    </row>
    <row r="54" spans="1:9" x14ac:dyDescent="0.2">
      <c r="B54" t="s">
        <v>80</v>
      </c>
      <c r="C54" t="str">
        <f>'42kB'!F21</f>
        <v>5k@6:00 ili odmor</v>
      </c>
      <c r="H54" t="s">
        <v>80</v>
      </c>
      <c r="I54" t="s">
        <v>202</v>
      </c>
    </row>
    <row r="55" spans="1:9" x14ac:dyDescent="0.2">
      <c r="B55" t="s">
        <v>81</v>
      </c>
      <c r="C55" t="str">
        <f>'42kB'!G21</f>
        <v>odmor</v>
      </c>
      <c r="H55" t="s">
        <v>81</v>
      </c>
      <c r="I55" t="s">
        <v>88</v>
      </c>
    </row>
    <row r="56" spans="1:9" x14ac:dyDescent="0.2">
      <c r="B56" t="s">
        <v>0</v>
      </c>
      <c r="C56" t="str">
        <f>'42kB'!H21</f>
        <v>zagrevanje 10min@ZA; 
21k@21K; 
hlađenje 5min@HL</v>
      </c>
      <c r="H56" t="s">
        <v>0</v>
      </c>
      <c r="I56" t="s">
        <v>154</v>
      </c>
    </row>
    <row r="57" spans="1:9" x14ac:dyDescent="0.2">
      <c r="A57" s="12" t="s">
        <v>0</v>
      </c>
      <c r="B57" s="12" t="s">
        <v>75</v>
      </c>
      <c r="C57" s="12" t="s">
        <v>82</v>
      </c>
      <c r="G57" s="12" t="s">
        <v>0</v>
      </c>
      <c r="H57" s="12" t="s">
        <v>75</v>
      </c>
      <c r="I57" s="12" t="s">
        <v>82</v>
      </c>
    </row>
    <row r="58" spans="1:9" x14ac:dyDescent="0.2">
      <c r="A58" s="5">
        <v>8</v>
      </c>
      <c r="B58" t="s">
        <v>76</v>
      </c>
      <c r="C58" t="str">
        <f>'42kB'!B22</f>
        <v>5k@6:00 ili odmor</v>
      </c>
      <c r="G58" s="5">
        <v>8</v>
      </c>
      <c r="H58" t="s">
        <v>76</v>
      </c>
      <c r="I58" t="s">
        <v>202</v>
      </c>
    </row>
    <row r="59" spans="1:9" x14ac:dyDescent="0.2">
      <c r="B59" t="s">
        <v>77</v>
      </c>
      <c r="C59" t="str">
        <f>'42kB'!C22</f>
        <v>zagrevanje 15min@7:30; 
2x(400m@6:05 + 400m@6:20 + 2400m@6:50 + 4min@7:30);
hlađenje 10min@7:30</v>
      </c>
      <c r="H59" t="s">
        <v>77</v>
      </c>
      <c r="I59" t="s">
        <v>193</v>
      </c>
    </row>
    <row r="60" spans="1:9" x14ac:dyDescent="0.2">
      <c r="B60" t="s">
        <v>78</v>
      </c>
      <c r="C60" t="str">
        <f>'42kB'!D22</f>
        <v>5k@6:00 ili odmor</v>
      </c>
      <c r="H60" t="s">
        <v>78</v>
      </c>
      <c r="I60" t="s">
        <v>202</v>
      </c>
    </row>
    <row r="61" spans="1:9" x14ac:dyDescent="0.2">
      <c r="B61" t="s">
        <v>79</v>
      </c>
      <c r="C61" t="str">
        <f>'42kB'!E22</f>
        <v>zagrevanje 15min@7:30; 
6x(800m@6:05 +30sec@7:30); 
hlađenje 10min@7:30</v>
      </c>
      <c r="H61" t="s">
        <v>79</v>
      </c>
      <c r="I61" t="s">
        <v>194</v>
      </c>
    </row>
    <row r="62" spans="1:9" x14ac:dyDescent="0.2">
      <c r="B62" t="s">
        <v>80</v>
      </c>
      <c r="C62" t="str">
        <f>'42kB'!F22</f>
        <v>5k@6:00 ili odmor</v>
      </c>
      <c r="H62" t="s">
        <v>80</v>
      </c>
      <c r="I62" t="s">
        <v>202</v>
      </c>
    </row>
    <row r="63" spans="1:9" x14ac:dyDescent="0.2">
      <c r="B63" t="s">
        <v>81</v>
      </c>
      <c r="C63" t="str">
        <f>'42kB'!G22</f>
        <v>5k@6:00 ili odmor</v>
      </c>
      <c r="H63" t="s">
        <v>81</v>
      </c>
      <c r="I63" t="s">
        <v>201</v>
      </c>
    </row>
    <row r="64" spans="1:9" x14ac:dyDescent="0.2">
      <c r="B64" t="s">
        <v>0</v>
      </c>
      <c r="C64" t="str">
        <f>'42kB'!H22</f>
        <v>14k@6:00</v>
      </c>
      <c r="H64" t="s">
        <v>0</v>
      </c>
      <c r="I64" t="s">
        <v>176</v>
      </c>
    </row>
    <row r="65" spans="1:9" x14ac:dyDescent="0.2">
      <c r="A65" s="12" t="s">
        <v>0</v>
      </c>
      <c r="B65" s="12" t="s">
        <v>75</v>
      </c>
      <c r="C65" s="12" t="s">
        <v>82</v>
      </c>
      <c r="G65" s="12" t="s">
        <v>0</v>
      </c>
      <c r="H65" s="12" t="s">
        <v>75</v>
      </c>
      <c r="I65" s="12" t="s">
        <v>82</v>
      </c>
    </row>
    <row r="66" spans="1:9" x14ac:dyDescent="0.2">
      <c r="A66" s="5">
        <v>9</v>
      </c>
      <c r="B66" t="s">
        <v>76</v>
      </c>
      <c r="C66" t="str">
        <f>'42kB'!B23</f>
        <v>5k@6:00, 4-6 x 100m ubrzanja na kraju treninga</v>
      </c>
      <c r="G66" s="5">
        <v>9</v>
      </c>
      <c r="H66" t="s">
        <v>76</v>
      </c>
      <c r="I66" t="s">
        <v>175</v>
      </c>
    </row>
    <row r="67" spans="1:9" x14ac:dyDescent="0.2">
      <c r="B67" t="s">
        <v>77</v>
      </c>
      <c r="C67" t="str">
        <f>'42kB'!C23</f>
        <v>zagrevanje 15min@7:30; 
4x(2k@6:20 + 2min@7:30);
hlađenje 10min@7:30</v>
      </c>
      <c r="H67" t="s">
        <v>77</v>
      </c>
      <c r="I67" t="s">
        <v>195</v>
      </c>
    </row>
    <row r="68" spans="1:9" x14ac:dyDescent="0.2">
      <c r="B68" t="s">
        <v>78</v>
      </c>
      <c r="C68" t="str">
        <f>'42kB'!D23</f>
        <v>5k@6:00 ili odmor</v>
      </c>
      <c r="H68" t="s">
        <v>78</v>
      </c>
      <c r="I68" t="s">
        <v>202</v>
      </c>
    </row>
    <row r="69" spans="1:9" x14ac:dyDescent="0.2">
      <c r="B69" t="s">
        <v>79</v>
      </c>
      <c r="C69" t="str">
        <f>'42kB'!E23</f>
        <v>zagrevanje 15min@7:30; 
5x(3min@6:00 + 3min@7:30); 
hlađenje 10min@7:30</v>
      </c>
      <c r="H69" t="s">
        <v>79</v>
      </c>
      <c r="I69" t="s">
        <v>196</v>
      </c>
    </row>
    <row r="70" spans="1:9" x14ac:dyDescent="0.2">
      <c r="B70" t="s">
        <v>80</v>
      </c>
      <c r="C70" t="str">
        <f>'42kB'!F23</f>
        <v>5k@6:00 ili odmor</v>
      </c>
      <c r="H70" t="s">
        <v>80</v>
      </c>
      <c r="I70" t="s">
        <v>202</v>
      </c>
    </row>
    <row r="71" spans="1:9" x14ac:dyDescent="0.2">
      <c r="B71" t="s">
        <v>81</v>
      </c>
      <c r="C71" t="str">
        <f>'42kB'!G23</f>
        <v>zagrevanje 10min@7:30; 
2x(20min@6:40 + 5min@7:30); 
hlađenje 10min@7:30</v>
      </c>
      <c r="H71" t="s">
        <v>81</v>
      </c>
      <c r="I71" t="s">
        <v>197</v>
      </c>
    </row>
    <row r="72" spans="1:9" x14ac:dyDescent="0.2">
      <c r="B72" t="s">
        <v>0</v>
      </c>
      <c r="C72" t="str">
        <f>'42kB'!H23</f>
        <v>14k@6:00</v>
      </c>
      <c r="H72" t="s">
        <v>0</v>
      </c>
      <c r="I72" t="s">
        <v>176</v>
      </c>
    </row>
    <row r="73" spans="1:9" x14ac:dyDescent="0.2">
      <c r="A73" s="12" t="s">
        <v>0</v>
      </c>
      <c r="B73" s="12" t="s">
        <v>75</v>
      </c>
      <c r="C73" s="12" t="s">
        <v>82</v>
      </c>
      <c r="G73" s="12" t="s">
        <v>0</v>
      </c>
      <c r="H73" s="12" t="s">
        <v>75</v>
      </c>
      <c r="I73" s="12" t="s">
        <v>82</v>
      </c>
    </row>
    <row r="74" spans="1:9" x14ac:dyDescent="0.2">
      <c r="A74" s="5">
        <v>10</v>
      </c>
      <c r="B74" t="s">
        <v>76</v>
      </c>
      <c r="C74" t="str">
        <f>'42kB'!B24</f>
        <v>Plivanje, bicikla, šetanje, vežbe snage, ...</v>
      </c>
      <c r="G74" s="5">
        <v>10</v>
      </c>
      <c r="H74" t="s">
        <v>76</v>
      </c>
      <c r="I74" t="s">
        <v>49</v>
      </c>
    </row>
    <row r="75" spans="1:9" x14ac:dyDescent="0.2">
      <c r="B75" t="s">
        <v>77</v>
      </c>
      <c r="C75" t="str">
        <f>'42kB'!C24</f>
        <v>zagrevanje 15min@7:30; 
14x(200m@6:00 + 1min@7:30);
hlađenje 10min@7:30</v>
      </c>
      <c r="H75" t="s">
        <v>77</v>
      </c>
      <c r="I75" t="s">
        <v>179</v>
      </c>
    </row>
    <row r="76" spans="1:9" x14ac:dyDescent="0.2">
      <c r="B76" t="s">
        <v>78</v>
      </c>
      <c r="C76" t="str">
        <f>'42kB'!D24</f>
        <v>progresivno aerobno trčanje u 3 jednaka segmenta, od sporijeg ka bržem</v>
      </c>
      <c r="H76" t="s">
        <v>78</v>
      </c>
      <c r="I76" t="s">
        <v>53</v>
      </c>
    </row>
    <row r="77" spans="1:9" x14ac:dyDescent="0.2">
      <c r="B77" t="s">
        <v>79</v>
      </c>
      <c r="C77" t="str">
        <f>'42kB'!E24</f>
        <v>zagrevanje 15min@7:30; 
3x(400m@6:05 + 400m@6:20 + 2400m@6:50 + 4min@7:30);
hlađenje 10min@7:30</v>
      </c>
      <c r="H77" t="s">
        <v>79</v>
      </c>
      <c r="I77" t="s">
        <v>198</v>
      </c>
    </row>
    <row r="78" spans="1:9" x14ac:dyDescent="0.2">
      <c r="B78" t="s">
        <v>80</v>
      </c>
      <c r="C78" t="str">
        <f>'42kB'!F24</f>
        <v>5k@6:00 ili odmor</v>
      </c>
      <c r="H78" t="s">
        <v>80</v>
      </c>
      <c r="I78" t="s">
        <v>202</v>
      </c>
    </row>
    <row r="79" spans="1:9" x14ac:dyDescent="0.2">
      <c r="B79" t="s">
        <v>81</v>
      </c>
      <c r="C79" t="str">
        <f>'42kB'!G24</f>
        <v>zagrevanje 10min@7:30; 
40min@6:40; 
hlađenje 10min@7:30</v>
      </c>
      <c r="H79" t="s">
        <v>81</v>
      </c>
      <c r="I79" t="s">
        <v>199</v>
      </c>
    </row>
    <row r="80" spans="1:9" x14ac:dyDescent="0.2">
      <c r="B80" t="s">
        <v>0</v>
      </c>
      <c r="C80" t="str">
        <f>'42kB'!H24</f>
        <v>zagrevanje 10min@ZA; 
120min@42K; 
hlađenje 10min@HL</v>
      </c>
      <c r="H80" t="s">
        <v>0</v>
      </c>
      <c r="I80" t="s">
        <v>160</v>
      </c>
    </row>
    <row r="81" spans="1:9" x14ac:dyDescent="0.2">
      <c r="A81" s="12" t="s">
        <v>0</v>
      </c>
      <c r="B81" s="12" t="s">
        <v>75</v>
      </c>
      <c r="C81" s="12" t="s">
        <v>82</v>
      </c>
      <c r="G81" s="12" t="s">
        <v>0</v>
      </c>
      <c r="H81" s="12" t="s">
        <v>75</v>
      </c>
      <c r="I81" s="12" t="s">
        <v>82</v>
      </c>
    </row>
    <row r="82" spans="1:9" x14ac:dyDescent="0.2">
      <c r="A82" s="5">
        <v>11</v>
      </c>
      <c r="B82" t="s">
        <v>76</v>
      </c>
      <c r="C82" t="str">
        <f>'42kB'!B25</f>
        <v>5k@6:00 ili odmor</v>
      </c>
      <c r="G82" s="5">
        <v>11</v>
      </c>
      <c r="H82" t="s">
        <v>76</v>
      </c>
      <c r="I82" t="s">
        <v>202</v>
      </c>
    </row>
    <row r="83" spans="1:9" x14ac:dyDescent="0.2">
      <c r="B83" t="s">
        <v>77</v>
      </c>
      <c r="C83" t="str">
        <f>'42kB'!C25</f>
        <v>zagrevanje 15min@7:30; 
3x(1600m@6:05 + 1min@7:30);
hlađenje 10min@7:30</v>
      </c>
      <c r="H83" t="s">
        <v>77</v>
      </c>
      <c r="I83" t="s">
        <v>200</v>
      </c>
    </row>
    <row r="84" spans="1:9" x14ac:dyDescent="0.2">
      <c r="B84" t="s">
        <v>78</v>
      </c>
      <c r="C84" t="str">
        <f>'42kB'!D25</f>
        <v>5k@6:00 ili odmor</v>
      </c>
      <c r="H84" t="s">
        <v>78</v>
      </c>
      <c r="I84" t="s">
        <v>202</v>
      </c>
    </row>
    <row r="85" spans="1:9" x14ac:dyDescent="0.2">
      <c r="B85" t="s">
        <v>79</v>
      </c>
      <c r="C85" t="str">
        <f>'42kB'!E25</f>
        <v>zagrevanje 15min@7:30; 
5x(3min@6:00 + 3min@7:30); 
hlađenje 10min@7:30</v>
      </c>
      <c r="H85" t="s">
        <v>79</v>
      </c>
      <c r="I85" t="s">
        <v>196</v>
      </c>
    </row>
    <row r="86" spans="1:9" x14ac:dyDescent="0.2">
      <c r="B86" t="s">
        <v>80</v>
      </c>
      <c r="C86" t="str">
        <f>'42kB'!F25</f>
        <v>5k@6:00 ili odmor</v>
      </c>
      <c r="H86" t="s">
        <v>80</v>
      </c>
      <c r="I86" t="s">
        <v>174</v>
      </c>
    </row>
    <row r="87" spans="1:9" x14ac:dyDescent="0.2">
      <c r="B87" t="s">
        <v>81</v>
      </c>
      <c r="C87" t="str">
        <f>'42kB'!G25</f>
        <v>odmor</v>
      </c>
      <c r="H87" t="s">
        <v>81</v>
      </c>
      <c r="I87" t="s">
        <v>88</v>
      </c>
    </row>
    <row r="88" spans="1:9" x14ac:dyDescent="0.2">
      <c r="B88" t="s">
        <v>0</v>
      </c>
      <c r="C88" t="str">
        <f>'42kB'!H25</f>
        <v>zagrevanje 10min@ZA; 
5k@5K; 
hlađenje 10min@HL</v>
      </c>
      <c r="H88" t="s">
        <v>0</v>
      </c>
      <c r="I88" t="s">
        <v>100</v>
      </c>
    </row>
    <row r="89" spans="1:9" x14ac:dyDescent="0.2">
      <c r="A89" s="12" t="s">
        <v>0</v>
      </c>
      <c r="B89" s="12" t="s">
        <v>75</v>
      </c>
      <c r="C89" s="12" t="s">
        <v>82</v>
      </c>
      <c r="G89" s="12" t="s">
        <v>0</v>
      </c>
      <c r="H89" s="12" t="s">
        <v>75</v>
      </c>
      <c r="I89" s="12" t="s">
        <v>82</v>
      </c>
    </row>
    <row r="90" spans="1:9" x14ac:dyDescent="0.2">
      <c r="A90" s="5">
        <v>12</v>
      </c>
      <c r="B90" t="s">
        <v>76</v>
      </c>
      <c r="C90" t="str">
        <f>'42kB'!B26</f>
        <v>odmor</v>
      </c>
      <c r="G90" s="5">
        <v>12</v>
      </c>
      <c r="H90" t="s">
        <v>76</v>
      </c>
      <c r="I90" t="s">
        <v>88</v>
      </c>
    </row>
    <row r="91" spans="1:9" x14ac:dyDescent="0.2">
      <c r="B91" t="s">
        <v>77</v>
      </c>
      <c r="C91" t="str">
        <f>'42kB'!C26</f>
        <v>zagrevanje 10min@; 
20min@21K; 
hlađenje 10min@</v>
      </c>
      <c r="H91" t="s">
        <v>77</v>
      </c>
      <c r="I91" t="s">
        <v>137</v>
      </c>
    </row>
    <row r="92" spans="1:9" x14ac:dyDescent="0.2">
      <c r="B92" t="s">
        <v>78</v>
      </c>
      <c r="C92" t="str">
        <f>'42kB'!D26</f>
        <v>Plivanje, bicikla, šetanje, vežbe snage, ...</v>
      </c>
      <c r="H92" t="s">
        <v>78</v>
      </c>
      <c r="I92" t="s">
        <v>49</v>
      </c>
    </row>
    <row r="93" spans="1:9" x14ac:dyDescent="0.2">
      <c r="B93" t="s">
        <v>79</v>
      </c>
      <c r="C93" t="str">
        <f>'42kB'!E26</f>
        <v>zagrevanje 15min@; 
3x(1.5min@ + 1.5min@); 
hlađenje 10min@</v>
      </c>
      <c r="H93" t="s">
        <v>79</v>
      </c>
      <c r="I93" t="s">
        <v>138</v>
      </c>
    </row>
    <row r="94" spans="1:9" x14ac:dyDescent="0.2">
      <c r="B94" t="s">
        <v>80</v>
      </c>
      <c r="C94" t="str">
        <f>'42kB'!F26</f>
        <v>odmor</v>
      </c>
      <c r="H94" t="s">
        <v>80</v>
      </c>
      <c r="I94" t="s">
        <v>88</v>
      </c>
    </row>
    <row r="95" spans="1:9" x14ac:dyDescent="0.2">
      <c r="B95" t="s">
        <v>81</v>
      </c>
      <c r="C95" t="str">
        <f>'42kB'!G26</f>
        <v>3k@; 
3x100m ubrzanja
Ubrzanja se trče po ravnoj stazi i sa snagom od 85%.
U pauzi se ili hoda ili lagano trči i ne počinje se ponovo dok se potpuno ne odmori.</v>
      </c>
      <c r="H95" t="s">
        <v>81</v>
      </c>
      <c r="I95" t="s">
        <v>139</v>
      </c>
    </row>
    <row r="96" spans="1:9" x14ac:dyDescent="0.2">
      <c r="B96" t="s">
        <v>0</v>
      </c>
      <c r="C96" t="str">
        <f>'42kB'!H26</f>
        <v>Obavezno uraditi zagrevanje laganim trčanjem  na samom startu barem 1km
Trka: 42.2km</v>
      </c>
      <c r="H96" t="s">
        <v>0</v>
      </c>
      <c r="I96" t="s">
        <v>162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C522-38C2-42B5-AC92-4428AF0C4D89}">
  <dimension ref="A1:C26"/>
  <sheetViews>
    <sheetView topLeftCell="A19" workbookViewId="0">
      <selection activeCell="C26" sqref="C26"/>
    </sheetView>
  </sheetViews>
  <sheetFormatPr defaultRowHeight="15" x14ac:dyDescent="0.2"/>
  <cols>
    <col min="1" max="1" width="21.7890625" customWidth="1"/>
    <col min="2" max="3" width="75.46484375" customWidth="1"/>
  </cols>
  <sheetData>
    <row r="1" spans="1:3" ht="41.25" x14ac:dyDescent="0.2">
      <c r="A1" s="5" t="s">
        <v>42</v>
      </c>
      <c r="B1" s="15" t="s">
        <v>113</v>
      </c>
      <c r="C1" s="5" t="s">
        <v>43</v>
      </c>
    </row>
    <row r="2" spans="1:3" x14ac:dyDescent="0.2">
      <c r="A2" t="s">
        <v>44</v>
      </c>
      <c r="B2" t="s">
        <v>49</v>
      </c>
      <c r="C2" t="s">
        <v>49</v>
      </c>
    </row>
    <row r="3" spans="1:3" x14ac:dyDescent="0.2">
      <c r="A3" t="s">
        <v>45</v>
      </c>
      <c r="B3" t="s">
        <v>174</v>
      </c>
      <c r="C3" t="s">
        <v>50</v>
      </c>
    </row>
    <row r="4" spans="1:3" x14ac:dyDescent="0.2">
      <c r="A4" t="s">
        <v>46</v>
      </c>
      <c r="B4" t="s">
        <v>175</v>
      </c>
      <c r="C4" t="s">
        <v>51</v>
      </c>
    </row>
    <row r="5" spans="1:3" x14ac:dyDescent="0.2">
      <c r="A5" t="s">
        <v>8</v>
      </c>
      <c r="B5" t="s">
        <v>174</v>
      </c>
      <c r="C5" t="s">
        <v>106</v>
      </c>
    </row>
    <row r="6" spans="1:3" x14ac:dyDescent="0.2">
      <c r="A6" t="s">
        <v>47</v>
      </c>
      <c r="B6" t="s">
        <v>53</v>
      </c>
      <c r="C6" t="s">
        <v>53</v>
      </c>
    </row>
    <row r="7" spans="1:3" x14ac:dyDescent="0.2">
      <c r="A7" t="s">
        <v>48</v>
      </c>
      <c r="B7" s="1" t="s">
        <v>176</v>
      </c>
      <c r="C7" t="s">
        <v>54</v>
      </c>
    </row>
    <row r="8" spans="1:3" x14ac:dyDescent="0.2">
      <c r="A8" t="s">
        <v>55</v>
      </c>
      <c r="B8" s="1" t="s">
        <v>176</v>
      </c>
      <c r="C8" t="s">
        <v>56</v>
      </c>
    </row>
    <row r="9" spans="1:3" x14ac:dyDescent="0.2">
      <c r="A9" t="s">
        <v>156</v>
      </c>
      <c r="B9" s="1" t="s">
        <v>176</v>
      </c>
      <c r="C9" t="s">
        <v>163</v>
      </c>
    </row>
    <row r="10" spans="1:3" x14ac:dyDescent="0.2">
      <c r="A10" t="s">
        <v>57</v>
      </c>
      <c r="B10" t="s">
        <v>58</v>
      </c>
      <c r="C10" t="s">
        <v>58</v>
      </c>
    </row>
    <row r="11" spans="1:3" x14ac:dyDescent="0.2">
      <c r="A11" t="s">
        <v>66</v>
      </c>
      <c r="B11" t="s">
        <v>110</v>
      </c>
    </row>
    <row r="12" spans="1:3" x14ac:dyDescent="0.2">
      <c r="A12" t="s">
        <v>67</v>
      </c>
    </row>
    <row r="13" spans="1:3" x14ac:dyDescent="0.2">
      <c r="A13" t="s">
        <v>88</v>
      </c>
      <c r="B13" t="s">
        <v>88</v>
      </c>
      <c r="C13" t="s">
        <v>88</v>
      </c>
    </row>
    <row r="14" spans="1:3" ht="41.25" x14ac:dyDescent="0.2">
      <c r="A14" s="11" t="s">
        <v>89</v>
      </c>
      <c r="B14" s="11" t="s">
        <v>89</v>
      </c>
      <c r="C14" s="11" t="s">
        <v>89</v>
      </c>
    </row>
    <row r="15" spans="1:3" ht="41.25" x14ac:dyDescent="0.2">
      <c r="A15" s="11" t="s">
        <v>100</v>
      </c>
      <c r="B15" s="11" t="s">
        <v>100</v>
      </c>
      <c r="C15" s="11" t="s">
        <v>100</v>
      </c>
    </row>
    <row r="16" spans="1:3" ht="68.25" x14ac:dyDescent="0.2">
      <c r="A16" s="11" t="s">
        <v>104</v>
      </c>
      <c r="B16" s="11" t="s">
        <v>109</v>
      </c>
      <c r="C16" s="11" t="s">
        <v>104</v>
      </c>
    </row>
    <row r="17" spans="1:3" ht="41.25" x14ac:dyDescent="0.2">
      <c r="A17" s="11" t="s">
        <v>147</v>
      </c>
      <c r="C17" s="11" t="s">
        <v>147</v>
      </c>
    </row>
    <row r="18" spans="1:3" ht="41.25" x14ac:dyDescent="0.2">
      <c r="A18" s="11" t="s">
        <v>151</v>
      </c>
      <c r="C18" s="11" t="s">
        <v>151</v>
      </c>
    </row>
    <row r="19" spans="1:3" ht="41.25" x14ac:dyDescent="0.2">
      <c r="A19" s="11" t="s">
        <v>154</v>
      </c>
      <c r="C19" s="11" t="s">
        <v>154</v>
      </c>
    </row>
    <row r="20" spans="1:3" ht="41.25" x14ac:dyDescent="0.2">
      <c r="A20" s="11" t="s">
        <v>160</v>
      </c>
      <c r="C20" s="11" t="s">
        <v>160</v>
      </c>
    </row>
    <row r="21" spans="1:3" ht="41.25" x14ac:dyDescent="0.2">
      <c r="A21" s="11" t="s">
        <v>100</v>
      </c>
      <c r="C21" s="11" t="s">
        <v>100</v>
      </c>
    </row>
    <row r="22" spans="1:3" ht="68.25" x14ac:dyDescent="0.2">
      <c r="A22" s="11" t="s">
        <v>162</v>
      </c>
      <c r="C22" s="11" t="s">
        <v>162</v>
      </c>
    </row>
    <row r="23" spans="1:3" ht="41.25" x14ac:dyDescent="0.2">
      <c r="A23" s="11" t="s">
        <v>147</v>
      </c>
      <c r="C23" s="11" t="s">
        <v>147</v>
      </c>
    </row>
    <row r="24" spans="1:3" ht="41.25" x14ac:dyDescent="0.2">
      <c r="A24" s="11" t="s">
        <v>226</v>
      </c>
      <c r="C24" s="11" t="s">
        <v>226</v>
      </c>
    </row>
    <row r="25" spans="1:3" ht="41.25" x14ac:dyDescent="0.2">
      <c r="A25" s="11" t="s">
        <v>236</v>
      </c>
      <c r="C25" s="11" t="s">
        <v>236</v>
      </c>
    </row>
    <row r="26" spans="1:3" ht="81" x14ac:dyDescent="0.2">
      <c r="A26" s="11" t="s">
        <v>239</v>
      </c>
      <c r="C26" s="11" t="s">
        <v>239</v>
      </c>
    </row>
  </sheetData>
  <phoneticPr fontId="4" type="noConversion"/>
  <hyperlinks>
    <hyperlink ref="B7" r:id="rId1" xr:uid="{2625744E-9883-4B2A-BE88-7EB0E76B955F}"/>
    <hyperlink ref="B8" r:id="rId2" xr:uid="{224D5003-F22D-487A-8807-00200758FCE2}"/>
    <hyperlink ref="B9" r:id="rId3" xr:uid="{A0F41A8C-7F0D-4FFC-8F76-F3E9E3214F35}"/>
  </hyperlinks>
  <pageMargins left="0.7" right="0.7" top="0.75" bottom="0.75" header="0.3" footer="0.3"/>
  <pageSetup orientation="portrait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CBC6-7F86-4535-A765-3F6E9091BBD3}">
  <dimension ref="A1:M15"/>
  <sheetViews>
    <sheetView workbookViewId="0">
      <selection activeCell="H15" sqref="H15"/>
    </sheetView>
  </sheetViews>
  <sheetFormatPr defaultRowHeight="15" x14ac:dyDescent="0.2"/>
  <sheetData>
    <row r="1" spans="1:13" x14ac:dyDescent="0.2">
      <c r="A1" t="s">
        <v>10</v>
      </c>
      <c r="B1" t="s">
        <v>11</v>
      </c>
      <c r="C1" t="s">
        <v>12</v>
      </c>
      <c r="D1" t="s">
        <v>13</v>
      </c>
      <c r="E1" t="s">
        <v>18</v>
      </c>
      <c r="F1" t="s">
        <v>19</v>
      </c>
      <c r="G1" t="s">
        <v>20</v>
      </c>
      <c r="H1" t="s">
        <v>14</v>
      </c>
      <c r="I1" t="s">
        <v>15</v>
      </c>
      <c r="J1" t="s">
        <v>16</v>
      </c>
      <c r="K1" t="s">
        <v>22</v>
      </c>
      <c r="L1" t="s">
        <v>28</v>
      </c>
      <c r="M1" t="s">
        <v>29</v>
      </c>
    </row>
    <row r="2" spans="1:13" x14ac:dyDescent="0.2">
      <c r="A2" s="7">
        <v>45</v>
      </c>
      <c r="B2" s="8" t="s">
        <v>23</v>
      </c>
      <c r="C2" s="8" t="s">
        <v>24</v>
      </c>
      <c r="D2" s="8" t="s">
        <v>25</v>
      </c>
      <c r="E2" s="8" t="s">
        <v>21</v>
      </c>
      <c r="F2" s="8" t="s">
        <v>26</v>
      </c>
      <c r="G2" s="8" t="s">
        <v>27</v>
      </c>
      <c r="H2" s="9">
        <f>B2/1.5</f>
        <v>0.16481481481481483</v>
      </c>
      <c r="I2" s="9">
        <f>C2/3</f>
        <v>0.17592592592592593</v>
      </c>
      <c r="J2" s="9">
        <f>D2/5</f>
        <v>0.18194444444444444</v>
      </c>
      <c r="K2" s="9">
        <f>E2/10</f>
        <v>0.18861111111111112</v>
      </c>
      <c r="L2" s="6" t="str">
        <f>MID(TEXT(F2/21.1,"hh:mm:ss"),5,7)</f>
        <v>4:45</v>
      </c>
      <c r="M2" s="6" t="str">
        <f>MID(TEXT(G2/42.2,"hh:mm:ss"),5,7)</f>
        <v>4:56</v>
      </c>
    </row>
    <row r="3" spans="1:13" x14ac:dyDescent="0.2">
      <c r="A3" s="7">
        <v>46</v>
      </c>
      <c r="B3" s="9">
        <v>0.24236111111111111</v>
      </c>
      <c r="C3" s="9">
        <v>0.5180555555555556</v>
      </c>
      <c r="D3" s="9">
        <v>0.89236111111111116</v>
      </c>
      <c r="E3" s="8" t="s">
        <v>30</v>
      </c>
      <c r="F3" s="8" t="s">
        <v>31</v>
      </c>
      <c r="G3" s="8" t="s">
        <v>32</v>
      </c>
      <c r="H3" s="9">
        <f t="shared" ref="H3:H15" si="0">B3/1.5</f>
        <v>0.16157407407407406</v>
      </c>
      <c r="I3" s="9">
        <f t="shared" ref="I3:I15" si="1">C3/3</f>
        <v>0.17268518518518519</v>
      </c>
      <c r="J3" s="9">
        <f t="shared" ref="J3:J15" si="2">D3/5</f>
        <v>0.17847222222222223</v>
      </c>
      <c r="K3" s="9">
        <f t="shared" ref="K3:K15" si="3">E3/10</f>
        <v>0.18506944444444445</v>
      </c>
      <c r="L3" s="6" t="str">
        <f t="shared" ref="L3:L15" si="4">MID(TEXT(F3/21.1,"hh:mm:ss"),5,7)</f>
        <v>4:40</v>
      </c>
      <c r="M3" s="6" t="str">
        <f t="shared" ref="M3:M15" si="5">MID(TEXT(G3/42.2,"hh:mm:ss"),5,7)</f>
        <v>4:51</v>
      </c>
    </row>
    <row r="4" spans="1:13" x14ac:dyDescent="0.2">
      <c r="A4">
        <v>31</v>
      </c>
      <c r="B4" s="2">
        <v>0.34375</v>
      </c>
      <c r="C4" s="2">
        <v>0.7270833333333333</v>
      </c>
      <c r="D4" s="8" t="s">
        <v>74</v>
      </c>
      <c r="E4" s="13">
        <v>2.5854166666666667</v>
      </c>
      <c r="F4" s="14">
        <v>9.5381944444444436E-2</v>
      </c>
      <c r="G4" s="14">
        <v>0.1957986111111111</v>
      </c>
      <c r="H4" s="9">
        <f t="shared" si="0"/>
        <v>0.22916666666666666</v>
      </c>
      <c r="I4" s="9">
        <f t="shared" si="1"/>
        <v>0.24236111111111111</v>
      </c>
      <c r="J4" s="9">
        <f t="shared" si="2"/>
        <v>0.24874999999999997</v>
      </c>
      <c r="K4" s="9">
        <f t="shared" si="3"/>
        <v>0.25854166666666667</v>
      </c>
      <c r="L4" s="6" t="str">
        <f t="shared" si="4"/>
        <v>6:31</v>
      </c>
      <c r="M4" s="6" t="str">
        <f t="shared" si="5"/>
        <v>6:41</v>
      </c>
    </row>
    <row r="5" spans="1:13" x14ac:dyDescent="0.2">
      <c r="A5">
        <v>30</v>
      </c>
      <c r="B5" s="2">
        <v>0.35416666666666669</v>
      </c>
      <c r="C5" s="2">
        <v>0.74722222222222223</v>
      </c>
      <c r="D5" s="13">
        <v>1.2777777777777779</v>
      </c>
      <c r="E5" s="13">
        <v>2.6569444444444446</v>
      </c>
      <c r="F5" s="14">
        <v>9.796296296296296E-2</v>
      </c>
      <c r="G5" s="14">
        <v>0.2008912037037037</v>
      </c>
      <c r="H5" s="9">
        <f t="shared" si="0"/>
        <v>0.23611111111111113</v>
      </c>
      <c r="I5" s="9">
        <f t="shared" si="1"/>
        <v>0.24907407407407409</v>
      </c>
      <c r="J5" s="9">
        <f t="shared" si="2"/>
        <v>0.25555555555555559</v>
      </c>
      <c r="K5" s="9">
        <f t="shared" si="3"/>
        <v>0.26569444444444446</v>
      </c>
      <c r="L5" s="6" t="str">
        <f t="shared" si="4"/>
        <v>6:41</v>
      </c>
      <c r="M5" s="6" t="str">
        <f t="shared" si="5"/>
        <v>6:51</v>
      </c>
    </row>
    <row r="6" spans="1:13" x14ac:dyDescent="0.2">
      <c r="A6">
        <v>32</v>
      </c>
      <c r="B6" s="2">
        <v>0.3347222222222222</v>
      </c>
      <c r="C6" s="2">
        <v>0.70763888888888893</v>
      </c>
      <c r="D6" s="13">
        <v>1.2118055555555556</v>
      </c>
      <c r="E6" s="13">
        <v>2.5180555555555553</v>
      </c>
      <c r="F6" s="14">
        <v>9.2928240740740742E-2</v>
      </c>
      <c r="G6" s="14">
        <v>0.19096064814814814</v>
      </c>
      <c r="H6" s="9">
        <f t="shared" si="0"/>
        <v>0.22314814814814812</v>
      </c>
      <c r="I6" s="9">
        <f t="shared" si="1"/>
        <v>0.23587962962962963</v>
      </c>
      <c r="J6" s="9">
        <f t="shared" si="2"/>
        <v>0.24236111111111111</v>
      </c>
      <c r="K6" s="9">
        <f t="shared" si="3"/>
        <v>0.2518055555555555</v>
      </c>
      <c r="L6" s="6" t="str">
        <f t="shared" si="4"/>
        <v>6:21</v>
      </c>
      <c r="M6" s="6" t="str">
        <f t="shared" si="5"/>
        <v>6:31</v>
      </c>
    </row>
    <row r="7" spans="1:13" x14ac:dyDescent="0.2">
      <c r="A7">
        <v>36</v>
      </c>
      <c r="B7" s="2">
        <v>0.30138888888888887</v>
      </c>
      <c r="C7" s="2">
        <v>0.64097222222222217</v>
      </c>
      <c r="D7" s="13">
        <v>1.0986111111111112</v>
      </c>
      <c r="E7" s="13">
        <v>2.2805555555555554</v>
      </c>
      <c r="F7" s="14">
        <v>8.4247685185185175E-2</v>
      </c>
      <c r="G7" s="14">
        <v>0.17383101851851854</v>
      </c>
      <c r="H7" s="9">
        <f t="shared" si="0"/>
        <v>0.20092592592592592</v>
      </c>
      <c r="I7" s="9">
        <f t="shared" si="1"/>
        <v>0.21365740740740738</v>
      </c>
      <c r="J7" s="9">
        <f t="shared" si="2"/>
        <v>0.21972222222222224</v>
      </c>
      <c r="K7" s="9">
        <f t="shared" si="3"/>
        <v>0.22805555555555554</v>
      </c>
      <c r="L7" s="6" t="str">
        <f t="shared" si="4"/>
        <v>5:45</v>
      </c>
      <c r="M7" s="6" t="str">
        <f t="shared" si="5"/>
        <v>5:56</v>
      </c>
    </row>
    <row r="8" spans="1:13" x14ac:dyDescent="0.2">
      <c r="A8">
        <v>38</v>
      </c>
      <c r="B8" s="2">
        <v>0.28750000000000003</v>
      </c>
      <c r="C8" s="2">
        <v>0.6118055555555556</v>
      </c>
      <c r="D8" s="13">
        <v>1.05</v>
      </c>
      <c r="E8" s="13">
        <v>2.1784722222222221</v>
      </c>
      <c r="F8" s="14">
        <v>8.0497685185185186E-2</v>
      </c>
      <c r="G8" s="14">
        <v>0.1663773148148148</v>
      </c>
      <c r="H8" s="9">
        <f t="shared" si="0"/>
        <v>0.19166666666666668</v>
      </c>
      <c r="I8" s="9">
        <f t="shared" si="1"/>
        <v>0.20393518518518519</v>
      </c>
      <c r="J8" s="9">
        <f t="shared" si="2"/>
        <v>0.21000000000000002</v>
      </c>
      <c r="K8" s="9">
        <f t="shared" si="3"/>
        <v>0.21784722222222222</v>
      </c>
      <c r="L8" s="6" t="str">
        <f t="shared" si="4"/>
        <v>5:30</v>
      </c>
      <c r="M8" s="6" t="str">
        <f t="shared" si="5"/>
        <v>5:41</v>
      </c>
    </row>
    <row r="9" spans="1:13" x14ac:dyDescent="0.2">
      <c r="A9">
        <v>41</v>
      </c>
      <c r="B9" s="2">
        <v>0.26874999999999999</v>
      </c>
      <c r="C9" s="2">
        <v>0.57291666666666663</v>
      </c>
      <c r="D9" s="2">
        <v>0.98472222222222217</v>
      </c>
      <c r="E9" s="13">
        <v>2.0423611111111111</v>
      </c>
      <c r="F9" s="14">
        <v>7.5462962962962968E-2</v>
      </c>
      <c r="G9" s="14">
        <v>0.15635416666666666</v>
      </c>
      <c r="H9" s="9">
        <f t="shared" si="0"/>
        <v>0.17916666666666667</v>
      </c>
      <c r="I9" s="9">
        <f t="shared" si="1"/>
        <v>0.19097222222222221</v>
      </c>
      <c r="J9" s="9">
        <f t="shared" si="2"/>
        <v>0.19694444444444442</v>
      </c>
      <c r="K9" s="9">
        <f t="shared" si="3"/>
        <v>0.20423611111111112</v>
      </c>
      <c r="L9" s="6" t="str">
        <f t="shared" si="4"/>
        <v>5:09</v>
      </c>
      <c r="M9" s="6" t="str">
        <f t="shared" si="5"/>
        <v>5:20</v>
      </c>
    </row>
    <row r="10" spans="1:13" x14ac:dyDescent="0.2">
      <c r="A10">
        <v>55</v>
      </c>
      <c r="B10" s="2">
        <v>0.20625000000000002</v>
      </c>
      <c r="C10" s="2">
        <v>0.44236111111111115</v>
      </c>
      <c r="D10" s="2">
        <v>0.76527777777777783</v>
      </c>
      <c r="E10" s="13">
        <v>1.5875000000000001</v>
      </c>
      <c r="F10" s="14">
        <v>5.8541666666666665E-2</v>
      </c>
      <c r="G10" s="14">
        <v>0.12223379629629628</v>
      </c>
      <c r="H10" s="9">
        <f t="shared" si="0"/>
        <v>0.13750000000000001</v>
      </c>
      <c r="I10" s="9">
        <f t="shared" si="1"/>
        <v>0.14745370370370373</v>
      </c>
      <c r="J10" s="9">
        <f t="shared" si="2"/>
        <v>0.15305555555555556</v>
      </c>
      <c r="K10" s="9">
        <f t="shared" si="3"/>
        <v>0.15875</v>
      </c>
      <c r="L10" s="6" t="str">
        <f t="shared" si="4"/>
        <v>4:00</v>
      </c>
      <c r="M10" s="6" t="str">
        <f t="shared" si="5"/>
        <v>4:10</v>
      </c>
    </row>
    <row r="11" spans="1:13" x14ac:dyDescent="0.2">
      <c r="A11">
        <v>48</v>
      </c>
      <c r="B11" s="2">
        <v>0.23333333333333331</v>
      </c>
      <c r="C11" s="2">
        <v>0.49861111111111112</v>
      </c>
      <c r="D11" s="2">
        <v>0.86041666666666661</v>
      </c>
      <c r="E11" s="13">
        <v>1.7847222222222223</v>
      </c>
      <c r="F11" s="14">
        <v>6.5891203703703702E-2</v>
      </c>
      <c r="G11" s="14">
        <v>0.13714120370370372</v>
      </c>
      <c r="H11" s="9">
        <f t="shared" si="0"/>
        <v>0.15555555555555553</v>
      </c>
      <c r="I11" s="9">
        <f t="shared" si="1"/>
        <v>0.16620370370370371</v>
      </c>
      <c r="J11" s="9">
        <f t="shared" si="2"/>
        <v>0.17208333333333331</v>
      </c>
      <c r="K11" s="9">
        <f t="shared" si="3"/>
        <v>0.17847222222222223</v>
      </c>
      <c r="L11" s="6" t="str">
        <f t="shared" si="4"/>
        <v>4:30</v>
      </c>
      <c r="M11" s="6" t="str">
        <f t="shared" si="5"/>
        <v>4:41</v>
      </c>
    </row>
    <row r="12" spans="1:13" x14ac:dyDescent="0.2">
      <c r="A12">
        <v>35</v>
      </c>
      <c r="B12" s="2">
        <v>0.30902777777777779</v>
      </c>
      <c r="C12" s="2">
        <v>0.65625</v>
      </c>
      <c r="D12" s="13">
        <v>1.125</v>
      </c>
      <c r="E12" s="13">
        <v>2.3354166666666667</v>
      </c>
      <c r="F12" s="14">
        <v>8.6261574074074074E-2</v>
      </c>
      <c r="G12" s="14">
        <v>0.17781250000000001</v>
      </c>
      <c r="H12" s="9">
        <f t="shared" si="0"/>
        <v>0.20601851851851852</v>
      </c>
      <c r="I12" s="9">
        <f t="shared" si="1"/>
        <v>0.21875</v>
      </c>
      <c r="J12" s="9">
        <f t="shared" si="2"/>
        <v>0.22500000000000001</v>
      </c>
      <c r="K12" s="9">
        <f t="shared" si="3"/>
        <v>0.23354166666666668</v>
      </c>
      <c r="L12" s="6" t="str">
        <f t="shared" si="4"/>
        <v>5:53</v>
      </c>
      <c r="M12" s="6" t="str">
        <f t="shared" si="5"/>
        <v>6:04</v>
      </c>
    </row>
    <row r="13" spans="1:13" x14ac:dyDescent="0.2">
      <c r="A13">
        <v>40</v>
      </c>
      <c r="B13" s="2">
        <v>0.27430555555555552</v>
      </c>
      <c r="C13" s="2">
        <v>0.5854166666666667</v>
      </c>
      <c r="D13" s="13">
        <v>1.0055555555555555</v>
      </c>
      <c r="E13" s="13">
        <v>2.0854166666666667</v>
      </c>
      <c r="F13" s="14">
        <v>7.7071759259259257E-2</v>
      </c>
      <c r="G13" s="14">
        <v>0.1595486111111111</v>
      </c>
      <c r="H13" s="9">
        <f t="shared" si="0"/>
        <v>0.18287037037037035</v>
      </c>
      <c r="I13" s="9">
        <f t="shared" si="1"/>
        <v>0.19513888888888889</v>
      </c>
      <c r="J13" s="9">
        <f t="shared" si="2"/>
        <v>0.2011111111111111</v>
      </c>
      <c r="K13" s="9">
        <f t="shared" si="3"/>
        <v>0.20854166666666668</v>
      </c>
      <c r="L13" s="6" t="str">
        <f t="shared" si="4"/>
        <v>5:16</v>
      </c>
      <c r="M13" s="6" t="str">
        <f t="shared" si="5"/>
        <v>5:27</v>
      </c>
    </row>
    <row r="14" spans="1:13" x14ac:dyDescent="0.2">
      <c r="A14">
        <v>50</v>
      </c>
      <c r="B14" s="2">
        <v>0.22500000000000001</v>
      </c>
      <c r="C14" s="2">
        <v>0.48125000000000001</v>
      </c>
      <c r="D14" s="2">
        <v>0.83125000000000004</v>
      </c>
      <c r="E14" s="13">
        <v>1.7229166666666667</v>
      </c>
      <c r="F14" s="14">
        <v>6.3599537037037038E-2</v>
      </c>
      <c r="G14" s="14">
        <v>0.13251157407407407</v>
      </c>
      <c r="H14" s="9">
        <f t="shared" si="0"/>
        <v>0.15</v>
      </c>
      <c r="I14" s="9">
        <f t="shared" si="1"/>
        <v>0.16041666666666668</v>
      </c>
      <c r="J14" s="9">
        <f t="shared" si="2"/>
        <v>0.16625000000000001</v>
      </c>
      <c r="K14" s="9">
        <f t="shared" si="3"/>
        <v>0.17229166666666668</v>
      </c>
      <c r="L14" s="6" t="str">
        <f t="shared" si="4"/>
        <v>4:20</v>
      </c>
      <c r="M14" s="6" t="str">
        <f t="shared" si="5"/>
        <v>4:31</v>
      </c>
    </row>
    <row r="15" spans="1:13" x14ac:dyDescent="0.2">
      <c r="A15">
        <v>52</v>
      </c>
      <c r="B15" s="2">
        <v>0.21736111111111112</v>
      </c>
      <c r="C15" s="2">
        <v>0.46458333333333335</v>
      </c>
      <c r="D15" s="2">
        <v>0.80347222222222225</v>
      </c>
      <c r="E15" s="13">
        <v>1.6659722222222222</v>
      </c>
      <c r="F15" s="14">
        <v>6.1469907407407411E-2</v>
      </c>
      <c r="G15" s="14">
        <v>0.12819444444444444</v>
      </c>
      <c r="H15" s="9">
        <f t="shared" si="0"/>
        <v>0.1449074074074074</v>
      </c>
      <c r="I15" s="9">
        <f t="shared" si="1"/>
        <v>0.15486111111111112</v>
      </c>
      <c r="J15" s="9">
        <f t="shared" si="2"/>
        <v>0.16069444444444445</v>
      </c>
      <c r="K15" s="9">
        <f t="shared" si="3"/>
        <v>0.16659722222222223</v>
      </c>
      <c r="L15" s="6" t="str">
        <f t="shared" si="4"/>
        <v>4:12</v>
      </c>
      <c r="M15" s="6" t="str">
        <f t="shared" si="5"/>
        <v>4:22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41B3-C481-42C0-82F2-1ABF294CB137}">
  <dimension ref="A1:K6"/>
  <sheetViews>
    <sheetView topLeftCell="H1" workbookViewId="0">
      <selection activeCell="H7" sqref="H7"/>
    </sheetView>
  </sheetViews>
  <sheetFormatPr defaultRowHeight="15" x14ac:dyDescent="0.2"/>
  <cols>
    <col min="8" max="8" width="31.07421875" customWidth="1"/>
    <col min="9" max="9" width="17.08203125" customWidth="1"/>
    <col min="11" max="11" width="87.3046875" customWidth="1"/>
  </cols>
  <sheetData>
    <row r="1" spans="1:11" x14ac:dyDescent="0.2">
      <c r="A1" t="s">
        <v>34</v>
      </c>
      <c r="B1" t="s">
        <v>35</v>
      </c>
      <c r="C1" t="s">
        <v>12</v>
      </c>
      <c r="D1" t="s">
        <v>13</v>
      </c>
      <c r="E1" t="s">
        <v>18</v>
      </c>
      <c r="F1" t="s">
        <v>19</v>
      </c>
      <c r="G1" t="s">
        <v>20</v>
      </c>
      <c r="H1" t="s">
        <v>36</v>
      </c>
      <c r="I1" t="s">
        <v>37</v>
      </c>
    </row>
    <row r="2" spans="1:11" x14ac:dyDescent="0.2">
      <c r="A2">
        <v>40</v>
      </c>
      <c r="B2" s="2" t="str">
        <f>MID(TEXT(B6,"hh:mm:ss AM/PM"),2,4)</f>
        <v>5:40</v>
      </c>
      <c r="C2" s="2" t="str">
        <f t="shared" ref="C2:I2" si="0">MID(TEXT(C6,"hh:mm:ss AM/PM"),2,4)</f>
        <v>6:00</v>
      </c>
      <c r="D2" s="2" t="str">
        <f t="shared" si="0"/>
        <v>6:05</v>
      </c>
      <c r="E2" s="2" t="str">
        <f t="shared" si="0"/>
        <v>6:20</v>
      </c>
      <c r="F2" s="2" t="str">
        <f t="shared" si="0"/>
        <v>6:40</v>
      </c>
      <c r="G2" s="2" t="str">
        <f t="shared" si="0"/>
        <v>6:50</v>
      </c>
      <c r="H2" s="2" t="str">
        <f t="shared" si="0"/>
        <v>7:30</v>
      </c>
      <c r="I2" s="2" t="str">
        <f t="shared" si="0"/>
        <v>7:30</v>
      </c>
      <c r="K2" t="s">
        <v>115</v>
      </c>
    </row>
    <row r="3" spans="1:11" x14ac:dyDescent="0.2">
      <c r="H3" s="4"/>
      <c r="I3" s="4"/>
    </row>
    <row r="4" spans="1:11" ht="27.75" x14ac:dyDescent="0.2">
      <c r="A4">
        <v>30</v>
      </c>
      <c r="B4" t="str">
        <f>MID(TEXT(VLOOKUP(A4,VO2maxPace!$A$1:$M$50,8,FALSE),"hh:mm:ss AM/PM"),2,4)</f>
        <v>5:40</v>
      </c>
      <c r="C4" t="str">
        <f>MID(TEXT(VLOOKUP(A4,VO2maxPace!$A$1:$M$50,9,FALSE),"hh:mm:ss AM/PM"),2,4)</f>
        <v>5:58</v>
      </c>
      <c r="D4" s="2" t="str">
        <f>MID(TEXT(VLOOKUP(A4,VO2maxPace!$A$1:$M$50,10,FALSE),"hh:mm:ss AM/PM"),2,4)</f>
        <v>6:08</v>
      </c>
      <c r="E4" s="2" t="str">
        <f>MID(TEXT(VLOOKUP(A4,VO2maxPace!$A$1:$M$50,11,FALSE),"hh:mm:ss AM/PM"),2,4)</f>
        <v>6:22</v>
      </c>
      <c r="F4" t="str">
        <f>MID(TEXT(VLOOKUP(A4,VO2maxPace!$A$1:$M$50,12,FALSE),"hh:mm:ss AM/PM"),2,4)</f>
        <v>6:41</v>
      </c>
      <c r="G4" t="str">
        <f>MID(TEXT(VLOOKUP(A4,VO2maxPace!$A$1:$M$50,13,FALSE),"hh:mm:ss AM/PM"),2,4)</f>
        <v>6:51</v>
      </c>
      <c r="H4" s="3" t="str">
        <f>MID(TEXT(VLOOKUP(A4,Intenzitet!$A$1:$C$50,2,FALSE),"hh:mm:ss AM/PM"),2,4)</f>
        <v>7:10</v>
      </c>
      <c r="I4" t="str">
        <f>MID(TEXT(VLOOKUP(A4,Intenzitet!$A$1:$C$50,2,FALSE),"hh:mm:ss AM/PM"),2,4)</f>
        <v>7:10</v>
      </c>
      <c r="K4" s="16" t="s">
        <v>164</v>
      </c>
    </row>
    <row r="6" spans="1:11" ht="41.25" x14ac:dyDescent="0.2">
      <c r="B6" s="2">
        <v>0.23611111111111113</v>
      </c>
      <c r="C6" s="2">
        <v>0.25</v>
      </c>
      <c r="D6" s="2">
        <v>0.25347222222222221</v>
      </c>
      <c r="E6" s="2">
        <v>0.2638888888888889</v>
      </c>
      <c r="F6" s="2">
        <v>0.27777777777777779</v>
      </c>
      <c r="G6" s="2">
        <v>0.28472222222222221</v>
      </c>
      <c r="H6" s="2">
        <v>0.3125</v>
      </c>
      <c r="I6" s="2">
        <v>0.3125</v>
      </c>
      <c r="K6" s="16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76C8-8D6F-4571-A57E-DB750838C444}">
  <dimension ref="A1:C2"/>
  <sheetViews>
    <sheetView workbookViewId="0">
      <selection activeCell="C3" sqref="C3"/>
    </sheetView>
  </sheetViews>
  <sheetFormatPr defaultRowHeight="15" x14ac:dyDescent="0.2"/>
  <sheetData>
    <row r="1" spans="1:3" ht="27.75" x14ac:dyDescent="0.2">
      <c r="A1" t="s">
        <v>39</v>
      </c>
      <c r="B1" s="11" t="s">
        <v>40</v>
      </c>
      <c r="C1" s="11" t="s">
        <v>41</v>
      </c>
    </row>
    <row r="2" spans="1:3" x14ac:dyDescent="0.2">
      <c r="A2">
        <v>30</v>
      </c>
      <c r="B2" s="2">
        <v>0.2986111111111111</v>
      </c>
      <c r="C2" s="2">
        <v>9.7222222222222224E-2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7A8D-5889-48D3-8A8D-0AAE9999F2A8}">
  <dimension ref="A1:A7"/>
  <sheetViews>
    <sheetView tabSelected="1" workbookViewId="0">
      <selection activeCell="A5" sqref="A5"/>
    </sheetView>
  </sheetViews>
  <sheetFormatPr defaultRowHeight="15" x14ac:dyDescent="0.2"/>
  <cols>
    <col min="1" max="1" width="35.2421875" customWidth="1"/>
  </cols>
  <sheetData>
    <row r="1" spans="1:1" x14ac:dyDescent="0.2">
      <c r="A1">
        <v>1</v>
      </c>
    </row>
    <row r="2" spans="1:1" x14ac:dyDescent="0.2">
      <c r="A2" t="s">
        <v>49</v>
      </c>
    </row>
    <row r="3" spans="1:1" x14ac:dyDescent="0.2">
      <c r="A3" t="s">
        <v>83</v>
      </c>
    </row>
    <row r="4" spans="1:1" x14ac:dyDescent="0.2">
      <c r="A4" t="s">
        <v>52</v>
      </c>
    </row>
    <row r="5" spans="1:1" x14ac:dyDescent="0.2">
      <c r="A5" t="s">
        <v>84</v>
      </c>
    </row>
    <row r="6" spans="1:1" x14ac:dyDescent="0.2">
      <c r="A6" t="s">
        <v>50</v>
      </c>
    </row>
    <row r="7" spans="1:1" x14ac:dyDescent="0.2">
      <c r="A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5kB</vt:lpstr>
      <vt:lpstr>5kB-templ</vt:lpstr>
      <vt:lpstr>21kC-proba</vt:lpstr>
      <vt:lpstr>21kC</vt:lpstr>
      <vt:lpstr>21kB</vt:lpstr>
      <vt:lpstr>21kB-templ</vt:lpstr>
      <vt:lpstr>42kB</vt:lpstr>
      <vt:lpstr>42kB-templ</vt:lpstr>
      <vt:lpstr>Legenda</vt:lpstr>
      <vt:lpstr>VO2maxPace</vt:lpstr>
      <vt:lpstr>VO2max</vt:lpstr>
      <vt:lpstr>Intenzitet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Valentina Nejkovic</cp:lastModifiedBy>
  <dcterms:created xsi:type="dcterms:W3CDTF">2015-06-05T18:17:20Z</dcterms:created>
  <dcterms:modified xsi:type="dcterms:W3CDTF">2024-07-13T13:10:10Z</dcterms:modified>
</cp:coreProperties>
</file>